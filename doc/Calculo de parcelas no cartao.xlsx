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erp-360\doc\"/>
    </mc:Choice>
  </mc:AlternateContent>
  <xr:revisionPtr revIDLastSave="0" documentId="13_ncr:9_{2AA83C59-6AD3-4DDC-B6D6-1BE527C5C4BC}" xr6:coauthVersionLast="47" xr6:coauthVersionMax="47" xr10:uidLastSave="{00000000-0000-0000-0000-000000000000}"/>
  <bookViews>
    <workbookView xWindow="-120" yWindow="-120" windowWidth="29040" windowHeight="15720" xr2:uid="{707473ED-DF27-484D-86C2-E1A16BB9B53E}"/>
  </bookViews>
  <sheets>
    <sheet name="Planilha1" sheetId="2" r:id="rId1"/>
  </sheets>
  <calcPr calcId="0"/>
</workbook>
</file>

<file path=xl/calcChain.xml><?xml version="1.0" encoding="utf-8"?>
<calcChain xmlns="http://schemas.openxmlformats.org/spreadsheetml/2006/main">
  <c r="D46" i="2" l="1"/>
  <c r="D47" i="2"/>
  <c r="D48" i="2"/>
  <c r="D49" i="2"/>
  <c r="D50" i="2"/>
  <c r="D51" i="2"/>
  <c r="D52" i="2"/>
  <c r="D53" i="2"/>
  <c r="D54" i="2"/>
  <c r="D55" i="2"/>
  <c r="D56" i="2"/>
  <c r="D45" i="2"/>
  <c r="D32" i="2"/>
  <c r="D33" i="2"/>
  <c r="D34" i="2"/>
  <c r="D35" i="2"/>
  <c r="D36" i="2"/>
  <c r="D37" i="2"/>
  <c r="D38" i="2"/>
  <c r="D39" i="2"/>
  <c r="D40" i="2"/>
  <c r="D41" i="2"/>
  <c r="D42" i="2"/>
  <c r="D31" i="2"/>
  <c r="E56" i="2"/>
  <c r="C56" i="2"/>
  <c r="E55" i="2"/>
  <c r="C55" i="2"/>
  <c r="E54" i="2"/>
  <c r="C54" i="2"/>
  <c r="E53" i="2"/>
  <c r="C53" i="2"/>
  <c r="E52" i="2"/>
  <c r="C52" i="2"/>
  <c r="E51" i="2"/>
  <c r="C51" i="2"/>
  <c r="E50" i="2"/>
  <c r="C50" i="2"/>
  <c r="E49" i="2"/>
  <c r="C49" i="2"/>
  <c r="E48" i="2"/>
  <c r="C48" i="2"/>
  <c r="E47" i="2"/>
  <c r="C47" i="2"/>
  <c r="E46" i="2"/>
  <c r="C46" i="2"/>
  <c r="E45" i="2"/>
  <c r="C45" i="2"/>
  <c r="E42" i="2"/>
  <c r="C42" i="2"/>
  <c r="E41" i="2"/>
  <c r="C41" i="2"/>
  <c r="E40" i="2"/>
  <c r="C40" i="2"/>
  <c r="E39" i="2"/>
  <c r="C39" i="2"/>
  <c r="E38" i="2"/>
  <c r="C38" i="2"/>
  <c r="E37" i="2"/>
  <c r="C37" i="2"/>
  <c r="E36" i="2"/>
  <c r="C36" i="2"/>
  <c r="E35" i="2"/>
  <c r="C35" i="2"/>
  <c r="E34" i="2"/>
  <c r="C34" i="2"/>
  <c r="E33" i="2"/>
  <c r="C33" i="2"/>
  <c r="F33" i="2" s="1"/>
  <c r="E32" i="2"/>
  <c r="C32" i="2"/>
  <c r="F32" i="2" s="1"/>
  <c r="E31" i="2"/>
  <c r="C31" i="2"/>
  <c r="D18" i="2"/>
  <c r="D19" i="2"/>
  <c r="D20" i="2"/>
  <c r="D21" i="2"/>
  <c r="D22" i="2"/>
  <c r="D23" i="2"/>
  <c r="D24" i="2"/>
  <c r="D25" i="2"/>
  <c r="D26" i="2"/>
  <c r="D27" i="2"/>
  <c r="D28" i="2"/>
  <c r="D17" i="2"/>
  <c r="E28" i="2"/>
  <c r="C28" i="2"/>
  <c r="F28" i="2" s="1"/>
  <c r="E27" i="2"/>
  <c r="C27" i="2"/>
  <c r="F27" i="2" s="1"/>
  <c r="E26" i="2"/>
  <c r="C26" i="2"/>
  <c r="F26" i="2" s="1"/>
  <c r="E25" i="2"/>
  <c r="C25" i="2"/>
  <c r="E24" i="2"/>
  <c r="C24" i="2"/>
  <c r="E23" i="2"/>
  <c r="C23" i="2"/>
  <c r="E22" i="2"/>
  <c r="C22" i="2"/>
  <c r="E21" i="2"/>
  <c r="C21" i="2"/>
  <c r="E20" i="2"/>
  <c r="C20" i="2"/>
  <c r="E19" i="2"/>
  <c r="C19" i="2"/>
  <c r="E18" i="2"/>
  <c r="C18" i="2"/>
  <c r="E17" i="2"/>
  <c r="C17" i="2"/>
  <c r="F17" i="2" s="1"/>
  <c r="E3" i="2"/>
  <c r="E4" i="2"/>
  <c r="E5" i="2"/>
  <c r="E6" i="2"/>
  <c r="E7" i="2"/>
  <c r="E8" i="2"/>
  <c r="E9" i="2"/>
  <c r="E10" i="2"/>
  <c r="E11" i="2"/>
  <c r="E12" i="2"/>
  <c r="E13" i="2"/>
  <c r="E14" i="2"/>
  <c r="C4" i="2"/>
  <c r="D4" i="2" s="1"/>
  <c r="F4" i="2" s="1"/>
  <c r="C5" i="2"/>
  <c r="D5" i="2" s="1"/>
  <c r="F5" i="2" s="1"/>
  <c r="C6" i="2"/>
  <c r="D6" i="2" s="1"/>
  <c r="F6" i="2" s="1"/>
  <c r="C7" i="2"/>
  <c r="D7" i="2" s="1"/>
  <c r="F7" i="2" s="1"/>
  <c r="C8" i="2"/>
  <c r="D8" i="2" s="1"/>
  <c r="F8" i="2" s="1"/>
  <c r="C9" i="2"/>
  <c r="D9" i="2" s="1"/>
  <c r="F9" i="2" s="1"/>
  <c r="C10" i="2"/>
  <c r="D10" i="2" s="1"/>
  <c r="F10" i="2" s="1"/>
  <c r="C11" i="2"/>
  <c r="D11" i="2" s="1"/>
  <c r="F11" i="2" s="1"/>
  <c r="C12" i="2"/>
  <c r="D12" i="2" s="1"/>
  <c r="F12" i="2" s="1"/>
  <c r="C13" i="2"/>
  <c r="D13" i="2" s="1"/>
  <c r="F13" i="2" s="1"/>
  <c r="C14" i="2"/>
  <c r="D14" i="2" s="1"/>
  <c r="F14" i="2" s="1"/>
  <c r="C3" i="2"/>
  <c r="D3" i="2" s="1"/>
  <c r="F3" i="2" s="1"/>
  <c r="F56" i="2" l="1"/>
  <c r="G56" i="2" s="1"/>
  <c r="F55" i="2"/>
  <c r="G55" i="2" s="1"/>
  <c r="F54" i="2"/>
  <c r="G54" i="2" s="1"/>
  <c r="F53" i="2"/>
  <c r="G53" i="2" s="1"/>
  <c r="F52" i="2"/>
  <c r="G52" i="2" s="1"/>
  <c r="F51" i="2"/>
  <c r="G51" i="2" s="1"/>
  <c r="F50" i="2"/>
  <c r="G50" i="2" s="1"/>
  <c r="F49" i="2"/>
  <c r="G49" i="2" s="1"/>
  <c r="F48" i="2"/>
  <c r="G48" i="2" s="1"/>
  <c r="F47" i="2"/>
  <c r="G47" i="2" s="1"/>
  <c r="F46" i="2"/>
  <c r="G46" i="2" s="1"/>
  <c r="F45" i="2"/>
  <c r="G45" i="2" s="1"/>
  <c r="F41" i="2"/>
  <c r="G41" i="2" s="1"/>
  <c r="F40" i="2"/>
  <c r="G40" i="2" s="1"/>
  <c r="F38" i="2"/>
  <c r="G38" i="2" s="1"/>
  <c r="F37" i="2"/>
  <c r="F35" i="2"/>
  <c r="F42" i="2"/>
  <c r="G42" i="2" s="1"/>
  <c r="F39" i="2"/>
  <c r="F36" i="2"/>
  <c r="F34" i="2"/>
  <c r="F31" i="2"/>
  <c r="G31" i="2" s="1"/>
  <c r="G39" i="2"/>
  <c r="G37" i="2"/>
  <c r="G36" i="2"/>
  <c r="G35" i="2"/>
  <c r="G34" i="2"/>
  <c r="G33" i="2"/>
  <c r="G32" i="2"/>
  <c r="F25" i="2"/>
  <c r="F24" i="2"/>
  <c r="F23" i="2"/>
  <c r="G23" i="2" s="1"/>
  <c r="F22" i="2"/>
  <c r="F20" i="2"/>
  <c r="F19" i="2"/>
  <c r="F18" i="2"/>
  <c r="F21" i="2"/>
  <c r="G28" i="2"/>
  <c r="G27" i="2"/>
  <c r="G26" i="2"/>
  <c r="G25" i="2"/>
  <c r="G24" i="2"/>
  <c r="G22" i="2"/>
  <c r="G21" i="2"/>
  <c r="G20" i="2"/>
  <c r="G19" i="2"/>
  <c r="G18" i="2"/>
  <c r="G17" i="2"/>
  <c r="G3" i="2"/>
  <c r="G5" i="2"/>
  <c r="G7" i="2"/>
  <c r="G9" i="2"/>
  <c r="G11" i="2"/>
  <c r="G13" i="2"/>
  <c r="G4" i="2"/>
  <c r="G6" i="2"/>
  <c r="G8" i="2"/>
  <c r="G10" i="2"/>
  <c r="G12" i="2"/>
  <c r="G14" i="2"/>
  <c r="I56" i="2" l="1"/>
  <c r="J56" i="2" s="1"/>
  <c r="H56" i="2"/>
  <c r="L56" i="2" s="1"/>
  <c r="M56" i="2" s="1"/>
  <c r="N56" i="2" s="1"/>
  <c r="I55" i="2"/>
  <c r="J55" i="2" s="1"/>
  <c r="H55" i="2"/>
  <c r="L55" i="2" s="1"/>
  <c r="M55" i="2" s="1"/>
  <c r="N55" i="2" s="1"/>
  <c r="I54" i="2"/>
  <c r="J54" i="2" s="1"/>
  <c r="H54" i="2"/>
  <c r="L54" i="2" s="1"/>
  <c r="M54" i="2" s="1"/>
  <c r="N54" i="2" s="1"/>
  <c r="I53" i="2"/>
  <c r="J53" i="2" s="1"/>
  <c r="H53" i="2"/>
  <c r="L53" i="2" s="1"/>
  <c r="M53" i="2" s="1"/>
  <c r="N53" i="2" s="1"/>
  <c r="I52" i="2"/>
  <c r="J52" i="2" s="1"/>
  <c r="H52" i="2"/>
  <c r="L52" i="2" s="1"/>
  <c r="M52" i="2" s="1"/>
  <c r="N52" i="2" s="1"/>
  <c r="I51" i="2"/>
  <c r="J51" i="2" s="1"/>
  <c r="H51" i="2"/>
  <c r="L51" i="2" s="1"/>
  <c r="M51" i="2" s="1"/>
  <c r="N51" i="2" s="1"/>
  <c r="I50" i="2"/>
  <c r="J50" i="2" s="1"/>
  <c r="H50" i="2"/>
  <c r="L50" i="2" s="1"/>
  <c r="M50" i="2" s="1"/>
  <c r="N50" i="2" s="1"/>
  <c r="I49" i="2"/>
  <c r="J49" i="2" s="1"/>
  <c r="H49" i="2"/>
  <c r="L49" i="2" s="1"/>
  <c r="M49" i="2" s="1"/>
  <c r="N49" i="2" s="1"/>
  <c r="I48" i="2"/>
  <c r="J48" i="2" s="1"/>
  <c r="H48" i="2"/>
  <c r="L48" i="2" s="1"/>
  <c r="M48" i="2" s="1"/>
  <c r="N48" i="2" s="1"/>
  <c r="I47" i="2"/>
  <c r="J47" i="2" s="1"/>
  <c r="H47" i="2"/>
  <c r="L47" i="2" s="1"/>
  <c r="M47" i="2" s="1"/>
  <c r="N47" i="2" s="1"/>
  <c r="I46" i="2"/>
  <c r="J46" i="2" s="1"/>
  <c r="H46" i="2"/>
  <c r="L46" i="2" s="1"/>
  <c r="M46" i="2" s="1"/>
  <c r="N46" i="2" s="1"/>
  <c r="I45" i="2"/>
  <c r="J45" i="2" s="1"/>
  <c r="H45" i="2"/>
  <c r="L45" i="2" s="1"/>
  <c r="M45" i="2" s="1"/>
  <c r="N45" i="2" s="1"/>
  <c r="I42" i="2"/>
  <c r="J42" i="2" s="1"/>
  <c r="H42" i="2"/>
  <c r="L42" i="2" s="1"/>
  <c r="M42" i="2" s="1"/>
  <c r="N42" i="2" s="1"/>
  <c r="I41" i="2"/>
  <c r="J41" i="2" s="1"/>
  <c r="H41" i="2"/>
  <c r="L41" i="2" s="1"/>
  <c r="M41" i="2" s="1"/>
  <c r="N41" i="2" s="1"/>
  <c r="I40" i="2"/>
  <c r="J40" i="2" s="1"/>
  <c r="H40" i="2"/>
  <c r="L40" i="2" s="1"/>
  <c r="M40" i="2" s="1"/>
  <c r="N40" i="2" s="1"/>
  <c r="I39" i="2"/>
  <c r="J39" i="2" s="1"/>
  <c r="H39" i="2"/>
  <c r="L39" i="2" s="1"/>
  <c r="M39" i="2" s="1"/>
  <c r="N39" i="2" s="1"/>
  <c r="I38" i="2"/>
  <c r="J38" i="2" s="1"/>
  <c r="H38" i="2"/>
  <c r="L38" i="2" s="1"/>
  <c r="M38" i="2" s="1"/>
  <c r="N38" i="2" s="1"/>
  <c r="I37" i="2"/>
  <c r="J37" i="2" s="1"/>
  <c r="H37" i="2"/>
  <c r="L37" i="2" s="1"/>
  <c r="M37" i="2" s="1"/>
  <c r="N37" i="2" s="1"/>
  <c r="I36" i="2"/>
  <c r="J36" i="2" s="1"/>
  <c r="H36" i="2"/>
  <c r="L36" i="2" s="1"/>
  <c r="M36" i="2" s="1"/>
  <c r="N36" i="2" s="1"/>
  <c r="I35" i="2"/>
  <c r="J35" i="2" s="1"/>
  <c r="H35" i="2"/>
  <c r="L35" i="2" s="1"/>
  <c r="M35" i="2" s="1"/>
  <c r="N35" i="2" s="1"/>
  <c r="I34" i="2"/>
  <c r="J34" i="2" s="1"/>
  <c r="H34" i="2"/>
  <c r="L34" i="2" s="1"/>
  <c r="M34" i="2" s="1"/>
  <c r="N34" i="2" s="1"/>
  <c r="I33" i="2"/>
  <c r="J33" i="2" s="1"/>
  <c r="H33" i="2"/>
  <c r="L33" i="2" s="1"/>
  <c r="M33" i="2" s="1"/>
  <c r="N33" i="2" s="1"/>
  <c r="I32" i="2"/>
  <c r="J32" i="2" s="1"/>
  <c r="H32" i="2"/>
  <c r="L32" i="2" s="1"/>
  <c r="M32" i="2" s="1"/>
  <c r="N32" i="2" s="1"/>
  <c r="I31" i="2"/>
  <c r="J31" i="2" s="1"/>
  <c r="H31" i="2"/>
  <c r="L31" i="2" s="1"/>
  <c r="M31" i="2" s="1"/>
  <c r="N31" i="2" s="1"/>
  <c r="I3" i="2"/>
  <c r="J3" i="2" s="1"/>
  <c r="H3" i="2"/>
  <c r="L3" i="2" s="1"/>
  <c r="M3" i="2" s="1"/>
  <c r="N3" i="2" s="1"/>
  <c r="I5" i="2"/>
  <c r="J5" i="2" s="1"/>
  <c r="H5" i="2"/>
  <c r="L5" i="2" s="1"/>
  <c r="M5" i="2" s="1"/>
  <c r="N5" i="2" s="1"/>
  <c r="I7" i="2"/>
  <c r="J7" i="2" s="1"/>
  <c r="H7" i="2"/>
  <c r="L7" i="2" s="1"/>
  <c r="M7" i="2" s="1"/>
  <c r="N7" i="2" s="1"/>
  <c r="I9" i="2"/>
  <c r="J9" i="2" s="1"/>
  <c r="H9" i="2"/>
  <c r="L9" i="2" s="1"/>
  <c r="M9" i="2" s="1"/>
  <c r="N9" i="2" s="1"/>
  <c r="I11" i="2"/>
  <c r="J11" i="2" s="1"/>
  <c r="H11" i="2"/>
  <c r="L11" i="2" s="1"/>
  <c r="M11" i="2" s="1"/>
  <c r="N11" i="2" s="1"/>
  <c r="I13" i="2"/>
  <c r="J13" i="2" s="1"/>
  <c r="H13" i="2"/>
  <c r="L13" i="2" s="1"/>
  <c r="M13" i="2" s="1"/>
  <c r="N13" i="2" s="1"/>
  <c r="I4" i="2"/>
  <c r="J4" i="2" s="1"/>
  <c r="H4" i="2"/>
  <c r="L4" i="2" s="1"/>
  <c r="M4" i="2" s="1"/>
  <c r="N4" i="2" s="1"/>
  <c r="I6" i="2"/>
  <c r="J6" i="2" s="1"/>
  <c r="H6" i="2"/>
  <c r="L6" i="2" s="1"/>
  <c r="M6" i="2" s="1"/>
  <c r="N6" i="2" s="1"/>
  <c r="I8" i="2"/>
  <c r="J8" i="2" s="1"/>
  <c r="H8" i="2"/>
  <c r="L8" i="2" s="1"/>
  <c r="M8" i="2" s="1"/>
  <c r="N8" i="2" s="1"/>
  <c r="I10" i="2"/>
  <c r="J10" i="2" s="1"/>
  <c r="H10" i="2"/>
  <c r="L10" i="2" s="1"/>
  <c r="M10" i="2" s="1"/>
  <c r="N10" i="2" s="1"/>
  <c r="I12" i="2"/>
  <c r="J12" i="2" s="1"/>
  <c r="H12" i="2"/>
  <c r="L12" i="2" s="1"/>
  <c r="M12" i="2" s="1"/>
  <c r="N12" i="2" s="1"/>
  <c r="I14" i="2"/>
  <c r="J14" i="2" s="1"/>
  <c r="H14" i="2"/>
  <c r="L14" i="2" s="1"/>
  <c r="M14" i="2" s="1"/>
  <c r="N14" i="2" s="1"/>
  <c r="I28" i="2"/>
  <c r="J28" i="2" s="1"/>
  <c r="H28" i="2"/>
  <c r="L28" i="2" s="1"/>
  <c r="M28" i="2" s="1"/>
  <c r="N28" i="2" s="1"/>
  <c r="I27" i="2"/>
  <c r="J27" i="2" s="1"/>
  <c r="H27" i="2"/>
  <c r="L27" i="2" s="1"/>
  <c r="M27" i="2" s="1"/>
  <c r="N27" i="2" s="1"/>
  <c r="I26" i="2"/>
  <c r="J26" i="2" s="1"/>
  <c r="H26" i="2"/>
  <c r="L26" i="2" s="1"/>
  <c r="M26" i="2" s="1"/>
  <c r="N26" i="2" s="1"/>
  <c r="I25" i="2"/>
  <c r="J25" i="2" s="1"/>
  <c r="H25" i="2"/>
  <c r="L25" i="2" s="1"/>
  <c r="M25" i="2" s="1"/>
  <c r="N25" i="2" s="1"/>
  <c r="I24" i="2"/>
  <c r="J24" i="2" s="1"/>
  <c r="H24" i="2"/>
  <c r="L24" i="2" s="1"/>
  <c r="M24" i="2" s="1"/>
  <c r="N24" i="2" s="1"/>
  <c r="I23" i="2"/>
  <c r="J23" i="2" s="1"/>
  <c r="H23" i="2"/>
  <c r="L23" i="2" s="1"/>
  <c r="M23" i="2" s="1"/>
  <c r="N23" i="2" s="1"/>
  <c r="I22" i="2"/>
  <c r="J22" i="2" s="1"/>
  <c r="H22" i="2"/>
  <c r="L22" i="2" s="1"/>
  <c r="M22" i="2" s="1"/>
  <c r="N22" i="2" s="1"/>
  <c r="I21" i="2"/>
  <c r="J21" i="2" s="1"/>
  <c r="H21" i="2"/>
  <c r="L21" i="2" s="1"/>
  <c r="M21" i="2" s="1"/>
  <c r="N21" i="2" s="1"/>
  <c r="I20" i="2"/>
  <c r="J20" i="2" s="1"/>
  <c r="H20" i="2"/>
  <c r="L20" i="2" s="1"/>
  <c r="M20" i="2" s="1"/>
  <c r="N20" i="2" s="1"/>
  <c r="I19" i="2"/>
  <c r="J19" i="2" s="1"/>
  <c r="H19" i="2"/>
  <c r="L19" i="2" s="1"/>
  <c r="M19" i="2" s="1"/>
  <c r="N19" i="2" s="1"/>
  <c r="I18" i="2"/>
  <c r="J18" i="2" s="1"/>
  <c r="H18" i="2"/>
  <c r="L18" i="2" s="1"/>
  <c r="M18" i="2" s="1"/>
  <c r="N18" i="2" s="1"/>
  <c r="I17" i="2"/>
  <c r="J17" i="2" s="1"/>
  <c r="H17" i="2"/>
  <c r="L17" i="2" s="1"/>
  <c r="M17" i="2" s="1"/>
  <c r="N17" i="2" s="1"/>
</calcChain>
</file>

<file path=xl/sharedStrings.xml><?xml version="1.0" encoding="utf-8"?>
<sst xmlns="http://schemas.openxmlformats.org/spreadsheetml/2006/main" count="9" uniqueCount="9">
  <si>
    <t>Elo</t>
  </si>
  <si>
    <t>Amex</t>
  </si>
  <si>
    <t>Cabal</t>
  </si>
  <si>
    <t>Parcela</t>
  </si>
  <si>
    <t>Taxa</t>
  </si>
  <si>
    <t>Total</t>
  </si>
  <si>
    <t>Visa/Mastercard</t>
  </si>
  <si>
    <t>Valor da Venda</t>
  </si>
  <si>
    <t>Prazo médio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</si>
</sst>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5" formatCode="0.000"/>
    <numFmt numFmtId="166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8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2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vertical="center"/>
    </xf>
    <xf numFmtId="165" fontId="0" fillId="0" borderId="0" xfId="0" applyNumberFormat="1" applyAlignment="1">
      <alignment horizontal="center" vertical="center" wrapText="1"/>
    </xf>
    <xf numFmtId="166" fontId="0" fillId="0" borderId="0" xfId="0" applyNumberFormat="1" applyAlignment="1">
      <alignment vertical="center"/>
    </xf>
    <xf numFmtId="166" fontId="0" fillId="0" borderId="0" xfId="0" applyNumberFormat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74B45-22F6-410A-AC84-4D05FB27C409}">
  <dimension ref="A1:Q56"/>
  <sheetViews>
    <sheetView tabSelected="1" workbookViewId="0">
      <selection activeCell="M46" sqref="M46"/>
    </sheetView>
  </sheetViews>
  <sheetFormatPr defaultRowHeight="15" x14ac:dyDescent="0.25"/>
  <cols>
    <col min="1" max="1" width="15.7109375" style="1" bestFit="1" customWidth="1"/>
    <col min="2" max="2" width="10.7109375" style="1" bestFit="1" customWidth="1"/>
    <col min="3" max="3" width="9.28515625" style="1" customWidth="1"/>
    <col min="4" max="4" width="13.42578125" style="8" customWidth="1"/>
    <col min="5" max="10" width="13.42578125" style="6" customWidth="1"/>
    <col min="11" max="11" width="4" style="1" customWidth="1"/>
    <col min="12" max="12" width="13.42578125" style="8" customWidth="1"/>
    <col min="13" max="14" width="13.42578125" style="1" customWidth="1"/>
    <col min="15" max="15" width="6.7109375" style="1" customWidth="1"/>
    <col min="16" max="22" width="11.42578125" style="1" customWidth="1"/>
    <col min="23" max="16384" width="9.140625" style="1"/>
  </cols>
  <sheetData>
    <row r="1" spans="1:17" x14ac:dyDescent="0.25">
      <c r="A1" s="1" t="s">
        <v>7</v>
      </c>
      <c r="B1" s="3">
        <v>1000</v>
      </c>
    </row>
    <row r="2" spans="1:17" s="2" customFormat="1" ht="31.5" customHeight="1" x14ac:dyDescent="0.25">
      <c r="A2" s="2" t="s">
        <v>6</v>
      </c>
      <c r="B2" s="2" t="s">
        <v>4</v>
      </c>
      <c r="C2" s="5" t="s">
        <v>8</v>
      </c>
      <c r="D2" s="9">
        <v>1.885</v>
      </c>
      <c r="E2" s="7"/>
      <c r="F2" s="7"/>
      <c r="G2" s="7"/>
      <c r="H2" s="7"/>
      <c r="I2" s="7" t="s">
        <v>5</v>
      </c>
      <c r="J2" s="7" t="s">
        <v>3</v>
      </c>
      <c r="L2" s="10"/>
    </row>
    <row r="3" spans="1:17" x14ac:dyDescent="0.25">
      <c r="A3" s="1">
        <v>1</v>
      </c>
      <c r="B3" s="2">
        <v>2.19</v>
      </c>
      <c r="C3" s="4">
        <f>((A3+1)/2)</f>
        <v>1</v>
      </c>
      <c r="D3" s="8">
        <f>$D$2*C3</f>
        <v>1.885</v>
      </c>
      <c r="E3" s="8">
        <f>1-(B3/100)</f>
        <v>0.97809999999999997</v>
      </c>
      <c r="F3" s="8">
        <f t="shared" ref="F3:F13" si="0">1-(D3/100)</f>
        <v>0.98114999999999997</v>
      </c>
      <c r="G3" s="8">
        <f>E3*F3</f>
        <v>0.95966281499999995</v>
      </c>
      <c r="H3" s="8">
        <f>1-G3</f>
        <v>4.0337185000000053E-2</v>
      </c>
      <c r="I3" s="8">
        <f>$B$1/G3</f>
        <v>1042.0326643582621</v>
      </c>
      <c r="J3" s="8">
        <f>I3/A3</f>
        <v>1042.0326643582621</v>
      </c>
      <c r="K3" s="3"/>
      <c r="L3" s="8">
        <f>H3-($D$2/100)</f>
        <v>2.1487185000000054E-2</v>
      </c>
      <c r="M3" s="3">
        <f>($B$1*L3)+$B$1</f>
        <v>1021.4871850000001</v>
      </c>
      <c r="N3" s="3">
        <f>M3/A3</f>
        <v>1021.4871850000001</v>
      </c>
      <c r="O3" s="3"/>
      <c r="P3" s="8"/>
    </row>
    <row r="4" spans="1:17" x14ac:dyDescent="0.25">
      <c r="A4" s="1">
        <v>2</v>
      </c>
      <c r="B4" s="2">
        <v>2.4900000000000002</v>
      </c>
      <c r="C4" s="4">
        <f>((A4+1)/2)</f>
        <v>1.5</v>
      </c>
      <c r="D4" s="8">
        <f t="shared" ref="D4:D14" si="1">$D$2*C4</f>
        <v>2.8275000000000001</v>
      </c>
      <c r="E4" s="8">
        <f>1-(B4/100)</f>
        <v>0.97509999999999997</v>
      </c>
      <c r="F4" s="8">
        <f t="shared" si="0"/>
        <v>0.97172499999999995</v>
      </c>
      <c r="G4" s="8">
        <f t="shared" ref="G4:G14" si="2">E4*F4</f>
        <v>0.94752904749999989</v>
      </c>
      <c r="H4" s="8">
        <f t="shared" ref="H4:H14" si="3">1-G4</f>
        <v>5.2470952500000112E-2</v>
      </c>
      <c r="I4" s="8">
        <f t="shared" ref="I4:I14" si="4">$B$1/G4</f>
        <v>1055.3766163036812</v>
      </c>
      <c r="J4" s="8">
        <f>I4/A4</f>
        <v>527.6883081518406</v>
      </c>
      <c r="K4" s="3"/>
      <c r="L4" s="8">
        <f t="shared" ref="L4:L14" si="5">H4-($D$2/100)</f>
        <v>3.3620952500000113E-2</v>
      </c>
      <c r="M4" s="3">
        <f t="shared" ref="M4:M14" si="6">($B$1*L4)+$B$1</f>
        <v>1033.6209525000002</v>
      </c>
      <c r="N4" s="3">
        <f>M4/A4</f>
        <v>516.81047625000008</v>
      </c>
      <c r="O4" s="3"/>
      <c r="P4" s="8"/>
    </row>
    <row r="5" spans="1:17" x14ac:dyDescent="0.25">
      <c r="A5" s="1">
        <v>3</v>
      </c>
      <c r="B5" s="2">
        <v>2.4900000000000002</v>
      </c>
      <c r="C5" s="4">
        <f>((A5+1)/2)</f>
        <v>2</v>
      </c>
      <c r="D5" s="8">
        <f t="shared" si="1"/>
        <v>3.77</v>
      </c>
      <c r="E5" s="8">
        <f>1-(B5/100)</f>
        <v>0.97509999999999997</v>
      </c>
      <c r="F5" s="8">
        <f t="shared" si="0"/>
        <v>0.96230000000000004</v>
      </c>
      <c r="G5" s="8">
        <f t="shared" si="2"/>
        <v>0.93833873000000001</v>
      </c>
      <c r="H5" s="8">
        <f t="shared" si="3"/>
        <v>6.166126999999999E-2</v>
      </c>
      <c r="I5" s="8">
        <f t="shared" si="4"/>
        <v>1065.7132312976146</v>
      </c>
      <c r="J5" s="8">
        <f>I5/A5</f>
        <v>355.23774376587153</v>
      </c>
      <c r="K5" s="3"/>
      <c r="L5" s="8">
        <f t="shared" si="5"/>
        <v>4.2811269999999992E-2</v>
      </c>
      <c r="M5" s="3">
        <f t="shared" si="6"/>
        <v>1042.8112699999999</v>
      </c>
      <c r="N5" s="3">
        <f>M5/A5</f>
        <v>347.60375666666664</v>
      </c>
      <c r="O5" s="3"/>
      <c r="P5" s="8"/>
    </row>
    <row r="6" spans="1:17" x14ac:dyDescent="0.25">
      <c r="A6" s="1">
        <v>4</v>
      </c>
      <c r="B6" s="2">
        <v>2.4900000000000002</v>
      </c>
      <c r="C6" s="4">
        <f>((A6+1)/2)</f>
        <v>2.5</v>
      </c>
      <c r="D6" s="8">
        <f t="shared" si="1"/>
        <v>4.7125000000000004</v>
      </c>
      <c r="E6" s="8">
        <f>1-(B6/100)</f>
        <v>0.97509999999999997</v>
      </c>
      <c r="F6" s="8">
        <f t="shared" si="0"/>
        <v>0.95287500000000003</v>
      </c>
      <c r="G6" s="8">
        <f t="shared" si="2"/>
        <v>0.92914841250000002</v>
      </c>
      <c r="H6" s="8">
        <f t="shared" si="3"/>
        <v>7.085158749999998E-2</v>
      </c>
      <c r="I6" s="8">
        <f t="shared" si="4"/>
        <v>1076.254327669101</v>
      </c>
      <c r="J6" s="8">
        <f>I6/A6</f>
        <v>269.06358191727526</v>
      </c>
      <c r="K6" s="3"/>
      <c r="L6" s="8">
        <f t="shared" si="5"/>
        <v>5.2001587499999981E-2</v>
      </c>
      <c r="M6" s="3">
        <f t="shared" si="6"/>
        <v>1052.0015874999999</v>
      </c>
      <c r="N6" s="3">
        <f>M6/A6</f>
        <v>263.00039687499998</v>
      </c>
      <c r="O6" s="3"/>
      <c r="P6" s="8"/>
    </row>
    <row r="7" spans="1:17" x14ac:dyDescent="0.25">
      <c r="A7" s="1">
        <v>5</v>
      </c>
      <c r="B7" s="2">
        <v>2.4900000000000002</v>
      </c>
      <c r="C7" s="4">
        <f>((A7+1)/2)</f>
        <v>3</v>
      </c>
      <c r="D7" s="8">
        <f t="shared" si="1"/>
        <v>5.6550000000000002</v>
      </c>
      <c r="E7" s="8">
        <f>1-(B7/100)</f>
        <v>0.97509999999999997</v>
      </c>
      <c r="F7" s="8">
        <f t="shared" si="0"/>
        <v>0.94345000000000001</v>
      </c>
      <c r="G7" s="8">
        <f t="shared" si="2"/>
        <v>0.91995809500000003</v>
      </c>
      <c r="H7" s="8">
        <f t="shared" si="3"/>
        <v>8.0041904999999969E-2</v>
      </c>
      <c r="I7" s="8">
        <f t="shared" si="4"/>
        <v>1087.0060336824363</v>
      </c>
      <c r="J7" s="8">
        <f>I7/A7</f>
        <v>217.40120673648727</v>
      </c>
      <c r="K7" s="3"/>
      <c r="L7" s="8">
        <f t="shared" si="5"/>
        <v>6.119190499999997E-2</v>
      </c>
      <c r="M7" s="3">
        <f t="shared" si="6"/>
        <v>1061.1919049999999</v>
      </c>
      <c r="N7" s="3">
        <f>M7/A7</f>
        <v>212.23838099999998</v>
      </c>
      <c r="O7" s="3"/>
      <c r="P7" s="8"/>
    </row>
    <row r="8" spans="1:17" x14ac:dyDescent="0.25">
      <c r="A8" s="1">
        <v>6</v>
      </c>
      <c r="B8" s="2">
        <v>2.4900000000000002</v>
      </c>
      <c r="C8" s="4">
        <f>((A8+1)/2)</f>
        <v>3.5</v>
      </c>
      <c r="D8" s="8">
        <f t="shared" si="1"/>
        <v>6.5975000000000001</v>
      </c>
      <c r="E8" s="8">
        <f>1-(B8/100)</f>
        <v>0.97509999999999997</v>
      </c>
      <c r="F8" s="8">
        <f t="shared" si="0"/>
        <v>0.93402499999999999</v>
      </c>
      <c r="G8" s="8">
        <f t="shared" si="2"/>
        <v>0.91076777749999993</v>
      </c>
      <c r="H8" s="8">
        <f t="shared" si="3"/>
        <v>8.9232222500000069E-2</v>
      </c>
      <c r="I8" s="8">
        <f t="shared" si="4"/>
        <v>1097.9747249567138</v>
      </c>
      <c r="J8" s="8">
        <f>I8/A8</f>
        <v>182.99578749278564</v>
      </c>
      <c r="K8" s="3"/>
      <c r="L8" s="8">
        <f t="shared" si="5"/>
        <v>7.0382222500000063E-2</v>
      </c>
      <c r="M8" s="3">
        <f t="shared" si="6"/>
        <v>1070.3822225000001</v>
      </c>
      <c r="N8" s="3">
        <f>M8/A8</f>
        <v>178.39703708333334</v>
      </c>
      <c r="O8" s="3"/>
      <c r="P8" s="8"/>
    </row>
    <row r="9" spans="1:17" x14ac:dyDescent="0.25">
      <c r="A9" s="1">
        <v>7</v>
      </c>
      <c r="B9" s="2">
        <v>2.89</v>
      </c>
      <c r="C9" s="4">
        <f>((A9+1)/2)</f>
        <v>4</v>
      </c>
      <c r="D9" s="8">
        <f t="shared" si="1"/>
        <v>7.54</v>
      </c>
      <c r="E9" s="8">
        <f>1-(B9/100)</f>
        <v>0.97109999999999996</v>
      </c>
      <c r="F9" s="8">
        <f t="shared" si="0"/>
        <v>0.92459999999999998</v>
      </c>
      <c r="G9" s="8">
        <f t="shared" si="2"/>
        <v>0.89787905999999995</v>
      </c>
      <c r="H9" s="8">
        <f t="shared" si="3"/>
        <v>0.10212094000000005</v>
      </c>
      <c r="I9" s="8">
        <f t="shared" si="4"/>
        <v>1113.7357407577811</v>
      </c>
      <c r="J9" s="8">
        <f>I9/A9</f>
        <v>159.10510582254014</v>
      </c>
      <c r="K9" s="3"/>
      <c r="L9" s="8">
        <f t="shared" si="5"/>
        <v>8.3270940000000043E-2</v>
      </c>
      <c r="M9" s="3">
        <f t="shared" si="6"/>
        <v>1083.2709400000001</v>
      </c>
      <c r="N9" s="3">
        <f>M9/A9</f>
        <v>154.75299142857145</v>
      </c>
      <c r="O9" s="3"/>
      <c r="P9" s="8"/>
    </row>
    <row r="10" spans="1:17" x14ac:dyDescent="0.25">
      <c r="A10" s="1">
        <v>8</v>
      </c>
      <c r="B10" s="2">
        <v>2.89</v>
      </c>
      <c r="C10" s="4">
        <f>((A10+1)/2)</f>
        <v>4.5</v>
      </c>
      <c r="D10" s="8">
        <f t="shared" si="1"/>
        <v>8.4824999999999999</v>
      </c>
      <c r="E10" s="8">
        <f>1-(B10/100)</f>
        <v>0.97109999999999996</v>
      </c>
      <c r="F10" s="8">
        <f t="shared" si="0"/>
        <v>0.91517499999999996</v>
      </c>
      <c r="G10" s="8">
        <f t="shared" si="2"/>
        <v>0.88872644249999988</v>
      </c>
      <c r="H10" s="8">
        <f t="shared" si="3"/>
        <v>0.11127355750000012</v>
      </c>
      <c r="I10" s="8">
        <f t="shared" si="4"/>
        <v>1125.2056337909628</v>
      </c>
      <c r="J10" s="8">
        <f>I10/A10</f>
        <v>140.65070422387035</v>
      </c>
      <c r="K10" s="3"/>
      <c r="L10" s="8">
        <f t="shared" si="5"/>
        <v>9.2423557500000114E-2</v>
      </c>
      <c r="M10" s="3">
        <f t="shared" si="6"/>
        <v>1092.4235575</v>
      </c>
      <c r="N10" s="3">
        <f>M10/A10</f>
        <v>136.5529446875</v>
      </c>
      <c r="O10" s="3"/>
      <c r="P10" s="8"/>
      <c r="Q10" s="3"/>
    </row>
    <row r="11" spans="1:17" x14ac:dyDescent="0.25">
      <c r="A11" s="1">
        <v>9</v>
      </c>
      <c r="B11" s="2">
        <v>2.89</v>
      </c>
      <c r="C11" s="4">
        <f>((A11+1)/2)</f>
        <v>5</v>
      </c>
      <c r="D11" s="8">
        <f t="shared" si="1"/>
        <v>9.4250000000000007</v>
      </c>
      <c r="E11" s="8">
        <f>1-(B11/100)</f>
        <v>0.97109999999999996</v>
      </c>
      <c r="F11" s="8">
        <f t="shared" si="0"/>
        <v>0.90575000000000006</v>
      </c>
      <c r="G11" s="8">
        <f t="shared" si="2"/>
        <v>0.87957382500000003</v>
      </c>
      <c r="H11" s="8">
        <f t="shared" si="3"/>
        <v>0.12042617499999997</v>
      </c>
      <c r="I11" s="8">
        <f t="shared" si="4"/>
        <v>1136.9142322988066</v>
      </c>
      <c r="J11" s="8">
        <f>I11/A11</f>
        <v>126.32380358875629</v>
      </c>
      <c r="K11" s="3"/>
      <c r="L11" s="8">
        <f t="shared" si="5"/>
        <v>0.10157617499999996</v>
      </c>
      <c r="M11" s="3">
        <f t="shared" si="6"/>
        <v>1101.5761749999999</v>
      </c>
      <c r="N11" s="3">
        <f>M11/A11</f>
        <v>122.39735277777777</v>
      </c>
      <c r="O11" s="3"/>
      <c r="P11" s="8"/>
    </row>
    <row r="12" spans="1:17" x14ac:dyDescent="0.25">
      <c r="A12" s="1">
        <v>10</v>
      </c>
      <c r="B12" s="2">
        <v>2.89</v>
      </c>
      <c r="C12" s="4">
        <f>((A12+1)/2)</f>
        <v>5.5</v>
      </c>
      <c r="D12" s="8">
        <f t="shared" si="1"/>
        <v>10.3675</v>
      </c>
      <c r="E12" s="8">
        <f>1-(B12/100)</f>
        <v>0.97109999999999996</v>
      </c>
      <c r="F12" s="8">
        <f t="shared" si="0"/>
        <v>0.89632500000000004</v>
      </c>
      <c r="G12" s="8">
        <f t="shared" si="2"/>
        <v>0.87042120749999996</v>
      </c>
      <c r="H12" s="8">
        <f t="shared" si="3"/>
        <v>0.12957879250000004</v>
      </c>
      <c r="I12" s="8">
        <f t="shared" si="4"/>
        <v>1148.8690663594614</v>
      </c>
      <c r="J12" s="8">
        <f>I12/A12</f>
        <v>114.88690663594613</v>
      </c>
      <c r="K12" s="3"/>
      <c r="L12" s="8">
        <f t="shared" si="5"/>
        <v>0.11072879250000003</v>
      </c>
      <c r="M12" s="3">
        <f t="shared" si="6"/>
        <v>1110.7287925000001</v>
      </c>
      <c r="N12" s="3">
        <f>M12/A12</f>
        <v>111.07287925</v>
      </c>
      <c r="O12" s="3"/>
      <c r="P12" s="8"/>
    </row>
    <row r="13" spans="1:17" x14ac:dyDescent="0.25">
      <c r="A13" s="1">
        <v>11</v>
      </c>
      <c r="B13" s="2">
        <v>2.89</v>
      </c>
      <c r="C13" s="4">
        <f>((A13+1)/2)</f>
        <v>6</v>
      </c>
      <c r="D13" s="8">
        <f t="shared" si="1"/>
        <v>11.31</v>
      </c>
      <c r="E13" s="8">
        <f>1-(B13/100)</f>
        <v>0.97109999999999996</v>
      </c>
      <c r="F13" s="8">
        <f t="shared" si="0"/>
        <v>0.88690000000000002</v>
      </c>
      <c r="G13" s="8">
        <f t="shared" si="2"/>
        <v>0.86126859</v>
      </c>
      <c r="H13" s="8">
        <f t="shared" si="3"/>
        <v>0.13873141</v>
      </c>
      <c r="I13" s="8">
        <f t="shared" si="4"/>
        <v>1161.0779861367057</v>
      </c>
      <c r="J13" s="8">
        <f>I13/A13</f>
        <v>105.55254419424597</v>
      </c>
      <c r="K13" s="3"/>
      <c r="L13" s="8">
        <f t="shared" si="5"/>
        <v>0.11988140999999999</v>
      </c>
      <c r="M13" s="3">
        <f t="shared" si="6"/>
        <v>1119.88141</v>
      </c>
      <c r="N13" s="3">
        <f>M13/A13</f>
        <v>101.8074009090909</v>
      </c>
      <c r="O13" s="3"/>
      <c r="P13" s="8"/>
    </row>
    <row r="14" spans="1:17" x14ac:dyDescent="0.25">
      <c r="A14" s="1">
        <v>12</v>
      </c>
      <c r="B14" s="2">
        <v>2.89</v>
      </c>
      <c r="C14" s="4">
        <f>((A14+1)/2)</f>
        <v>6.5</v>
      </c>
      <c r="D14" s="8">
        <f t="shared" si="1"/>
        <v>12.2525</v>
      </c>
      <c r="E14" s="8">
        <f>1-(B14/100)</f>
        <v>0.97109999999999996</v>
      </c>
      <c r="F14" s="8">
        <f>1-(D14/100)</f>
        <v>0.877475</v>
      </c>
      <c r="G14" s="8">
        <f t="shared" si="2"/>
        <v>0.85211597249999993</v>
      </c>
      <c r="H14" s="8">
        <f t="shared" si="3"/>
        <v>0.14788402750000007</v>
      </c>
      <c r="I14" s="8">
        <f t="shared" si="4"/>
        <v>1173.5491790702233</v>
      </c>
      <c r="J14" s="8">
        <f>I14/A14</f>
        <v>97.795764922518615</v>
      </c>
      <c r="K14" s="3"/>
      <c r="L14" s="8">
        <f t="shared" si="5"/>
        <v>0.12903402750000006</v>
      </c>
      <c r="M14" s="3">
        <f t="shared" si="6"/>
        <v>1129.0340275000001</v>
      </c>
      <c r="N14" s="3">
        <f>M14/A14</f>
        <v>94.086168958333346</v>
      </c>
      <c r="O14" s="3"/>
      <c r="P14" s="8"/>
    </row>
    <row r="15" spans="1:17" x14ac:dyDescent="0.25">
      <c r="C15" s="3"/>
    </row>
    <row r="16" spans="1:17" x14ac:dyDescent="0.25">
      <c r="A16" s="1" t="s">
        <v>0</v>
      </c>
      <c r="C16" s="3"/>
      <c r="D16" s="8">
        <v>1.96</v>
      </c>
    </row>
    <row r="17" spans="1:14" x14ac:dyDescent="0.25">
      <c r="A17" s="1">
        <v>1</v>
      </c>
      <c r="B17" s="1">
        <v>2.69</v>
      </c>
      <c r="C17" s="4">
        <f>((A17+1)/2)</f>
        <v>1</v>
      </c>
      <c r="D17" s="8">
        <f>$D$16*C17</f>
        <v>1.96</v>
      </c>
      <c r="E17" s="8">
        <f>1-(B17/100)</f>
        <v>0.97309999999999997</v>
      </c>
      <c r="F17" s="8">
        <f t="shared" ref="F17:F27" si="7">1-(D17/100)</f>
        <v>0.98040000000000005</v>
      </c>
      <c r="G17" s="8">
        <f>E17*F17</f>
        <v>0.95402724000000005</v>
      </c>
      <c r="H17" s="8">
        <f>1-G17</f>
        <v>4.5972759999999946E-2</v>
      </c>
      <c r="I17" s="8">
        <f>$B$1/G17</f>
        <v>1048.1880999540431</v>
      </c>
      <c r="J17" s="8">
        <f>I17/A17</f>
        <v>1048.1880999540431</v>
      </c>
      <c r="K17" s="3"/>
      <c r="L17" s="8">
        <f>H17-($D$2/100)</f>
        <v>2.7122759999999947E-2</v>
      </c>
      <c r="M17" s="3">
        <f>($B$1*L17)+$B$1</f>
        <v>1027.12276</v>
      </c>
      <c r="N17" s="3">
        <f>M17/A17</f>
        <v>1027.12276</v>
      </c>
    </row>
    <row r="18" spans="1:14" x14ac:dyDescent="0.25">
      <c r="A18" s="1">
        <v>2</v>
      </c>
      <c r="B18" s="1">
        <v>2.95</v>
      </c>
      <c r="C18" s="4">
        <f>((A18+1)/2)</f>
        <v>1.5</v>
      </c>
      <c r="D18" s="8">
        <f t="shared" ref="D18:D28" si="8">$D$16*C18</f>
        <v>2.94</v>
      </c>
      <c r="E18" s="8">
        <f>1-(B18/100)</f>
        <v>0.97050000000000003</v>
      </c>
      <c r="F18" s="8">
        <f t="shared" si="7"/>
        <v>0.97060000000000002</v>
      </c>
      <c r="G18" s="8">
        <f t="shared" ref="G18:G28" si="9">E18*F18</f>
        <v>0.94196730000000006</v>
      </c>
      <c r="H18" s="8">
        <f t="shared" ref="H18:H28" si="10">1-G18</f>
        <v>5.8032699999999937E-2</v>
      </c>
      <c r="I18" s="8">
        <f t="shared" ref="I18:I28" si="11">$B$1/G18</f>
        <v>1061.6079772620556</v>
      </c>
      <c r="J18" s="8">
        <f>I18/A18</f>
        <v>530.80398863102778</v>
      </c>
      <c r="K18" s="3"/>
      <c r="L18" s="8">
        <f t="shared" ref="L18:L28" si="12">H18-($D$2/100)</f>
        <v>3.9182699999999938E-2</v>
      </c>
      <c r="M18" s="3">
        <f t="shared" ref="M18:M28" si="13">($B$1*L18)+$B$1</f>
        <v>1039.1826999999998</v>
      </c>
      <c r="N18" s="3">
        <f>M18/A18</f>
        <v>519.59134999999992</v>
      </c>
    </row>
    <row r="19" spans="1:14" x14ac:dyDescent="0.25">
      <c r="A19" s="1">
        <v>3</v>
      </c>
      <c r="B19" s="1">
        <v>2.95</v>
      </c>
      <c r="C19" s="4">
        <f>((A19+1)/2)</f>
        <v>2</v>
      </c>
      <c r="D19" s="8">
        <f t="shared" si="8"/>
        <v>3.92</v>
      </c>
      <c r="E19" s="8">
        <f>1-(B19/100)</f>
        <v>0.97050000000000003</v>
      </c>
      <c r="F19" s="8">
        <f t="shared" si="7"/>
        <v>0.96079999999999999</v>
      </c>
      <c r="G19" s="8">
        <f t="shared" si="9"/>
        <v>0.93245639999999996</v>
      </c>
      <c r="H19" s="8">
        <f t="shared" si="10"/>
        <v>6.7543600000000037E-2</v>
      </c>
      <c r="I19" s="8">
        <f t="shared" si="11"/>
        <v>1072.4362018427887</v>
      </c>
      <c r="J19" s="8">
        <f>I19/A19</f>
        <v>357.47873394759625</v>
      </c>
      <c r="K19" s="3"/>
      <c r="L19" s="8">
        <f t="shared" si="12"/>
        <v>4.8693600000000038E-2</v>
      </c>
      <c r="M19" s="3">
        <f t="shared" si="13"/>
        <v>1048.6936000000001</v>
      </c>
      <c r="N19" s="3">
        <f>M19/A19</f>
        <v>349.56453333333337</v>
      </c>
    </row>
    <row r="20" spans="1:14" x14ac:dyDescent="0.25">
      <c r="A20" s="1">
        <v>4</v>
      </c>
      <c r="B20" s="1">
        <v>2.95</v>
      </c>
      <c r="C20" s="4">
        <f>((A20+1)/2)</f>
        <v>2.5</v>
      </c>
      <c r="D20" s="8">
        <f t="shared" si="8"/>
        <v>4.9000000000000004</v>
      </c>
      <c r="E20" s="8">
        <f>1-(B20/100)</f>
        <v>0.97050000000000003</v>
      </c>
      <c r="F20" s="8">
        <f t="shared" si="7"/>
        <v>0.95099999999999996</v>
      </c>
      <c r="G20" s="8">
        <f t="shared" si="9"/>
        <v>0.92294549999999997</v>
      </c>
      <c r="H20" s="8">
        <f t="shared" si="10"/>
        <v>7.7054500000000026E-2</v>
      </c>
      <c r="I20" s="8">
        <f t="shared" si="11"/>
        <v>1083.4875948796544</v>
      </c>
      <c r="J20" s="8">
        <f>I20/A20</f>
        <v>270.87189871991359</v>
      </c>
      <c r="K20" s="3"/>
      <c r="L20" s="8">
        <f t="shared" si="12"/>
        <v>5.8204500000000027E-2</v>
      </c>
      <c r="M20" s="3">
        <f t="shared" si="13"/>
        <v>1058.2045000000001</v>
      </c>
      <c r="N20" s="3">
        <f>M20/A20</f>
        <v>264.55112500000001</v>
      </c>
    </row>
    <row r="21" spans="1:14" x14ac:dyDescent="0.25">
      <c r="A21" s="1">
        <v>5</v>
      </c>
      <c r="B21" s="1">
        <v>2.95</v>
      </c>
      <c r="C21" s="4">
        <f>((A21+1)/2)</f>
        <v>3</v>
      </c>
      <c r="D21" s="8">
        <f t="shared" si="8"/>
        <v>5.88</v>
      </c>
      <c r="E21" s="8">
        <f>1-(B21/100)</f>
        <v>0.97050000000000003</v>
      </c>
      <c r="F21" s="8">
        <f t="shared" si="7"/>
        <v>0.94120000000000004</v>
      </c>
      <c r="G21" s="8">
        <f t="shared" si="9"/>
        <v>0.9134346000000001</v>
      </c>
      <c r="H21" s="8">
        <f t="shared" si="10"/>
        <v>8.6565399999999904E-2</v>
      </c>
      <c r="I21" s="8">
        <f t="shared" si="11"/>
        <v>1094.7691274230251</v>
      </c>
      <c r="J21" s="8">
        <f>I21/A21</f>
        <v>218.95382548460503</v>
      </c>
      <c r="K21" s="3"/>
      <c r="L21" s="8">
        <f t="shared" si="12"/>
        <v>6.7715399999999898E-2</v>
      </c>
      <c r="M21" s="3">
        <f t="shared" si="13"/>
        <v>1067.7153999999998</v>
      </c>
      <c r="N21" s="3">
        <f>M21/A21</f>
        <v>213.54307999999997</v>
      </c>
    </row>
    <row r="22" spans="1:14" x14ac:dyDescent="0.25">
      <c r="A22" s="1">
        <v>6</v>
      </c>
      <c r="B22" s="1">
        <v>2.95</v>
      </c>
      <c r="C22" s="4">
        <f>((A22+1)/2)</f>
        <v>3.5</v>
      </c>
      <c r="D22" s="8">
        <f t="shared" si="8"/>
        <v>6.8599999999999994</v>
      </c>
      <c r="E22" s="8">
        <f>1-(B22/100)</f>
        <v>0.97050000000000003</v>
      </c>
      <c r="F22" s="8">
        <f t="shared" si="7"/>
        <v>0.93140000000000001</v>
      </c>
      <c r="G22" s="8">
        <f t="shared" si="9"/>
        <v>0.9039237</v>
      </c>
      <c r="H22" s="8">
        <f t="shared" si="10"/>
        <v>9.6076300000000003E-2</v>
      </c>
      <c r="I22" s="8">
        <f t="shared" si="11"/>
        <v>1106.2880639151292</v>
      </c>
      <c r="J22" s="8">
        <f>I22/A22</f>
        <v>184.38134398585487</v>
      </c>
      <c r="K22" s="3"/>
      <c r="L22" s="8">
        <f t="shared" si="12"/>
        <v>7.7226299999999998E-2</v>
      </c>
      <c r="M22" s="3">
        <f t="shared" si="13"/>
        <v>1077.2263</v>
      </c>
      <c r="N22" s="3">
        <f>M22/A22</f>
        <v>179.53771666666668</v>
      </c>
    </row>
    <row r="23" spans="1:14" x14ac:dyDescent="0.25">
      <c r="A23" s="1">
        <v>7</v>
      </c>
      <c r="B23" s="1">
        <v>3.44</v>
      </c>
      <c r="C23" s="4">
        <f>((A23+1)/2)</f>
        <v>4</v>
      </c>
      <c r="D23" s="8">
        <f t="shared" si="8"/>
        <v>7.84</v>
      </c>
      <c r="E23" s="8">
        <f>1-(B23/100)</f>
        <v>0.96560000000000001</v>
      </c>
      <c r="F23" s="8">
        <f t="shared" si="7"/>
        <v>0.92159999999999997</v>
      </c>
      <c r="G23" s="8">
        <f t="shared" si="9"/>
        <v>0.88989695999999996</v>
      </c>
      <c r="H23" s="8">
        <f t="shared" si="10"/>
        <v>0.11010304000000004</v>
      </c>
      <c r="I23" s="8">
        <f t="shared" si="11"/>
        <v>1123.7256052655805</v>
      </c>
      <c r="J23" s="8">
        <f>I23/A23</f>
        <v>160.53222932365435</v>
      </c>
      <c r="K23" s="3"/>
      <c r="L23" s="8">
        <f t="shared" si="12"/>
        <v>9.1253040000000035E-2</v>
      </c>
      <c r="M23" s="3">
        <f t="shared" si="13"/>
        <v>1091.2530400000001</v>
      </c>
      <c r="N23" s="3">
        <f>M23/A23</f>
        <v>155.89329142857144</v>
      </c>
    </row>
    <row r="24" spans="1:14" x14ac:dyDescent="0.25">
      <c r="A24" s="1">
        <v>8</v>
      </c>
      <c r="B24" s="1">
        <v>3.44</v>
      </c>
      <c r="C24" s="4">
        <f>((A24+1)/2)</f>
        <v>4.5</v>
      </c>
      <c r="D24" s="8">
        <f t="shared" si="8"/>
        <v>8.82</v>
      </c>
      <c r="E24" s="8">
        <f>1-(B24/100)</f>
        <v>0.96560000000000001</v>
      </c>
      <c r="F24" s="8">
        <f t="shared" si="7"/>
        <v>0.91179999999999994</v>
      </c>
      <c r="G24" s="8">
        <f t="shared" si="9"/>
        <v>0.88043408000000001</v>
      </c>
      <c r="H24" s="8">
        <f t="shared" si="10"/>
        <v>0.11956591999999999</v>
      </c>
      <c r="I24" s="8">
        <f t="shared" si="11"/>
        <v>1135.8033755349406</v>
      </c>
      <c r="J24" s="8">
        <f>I24/A24</f>
        <v>141.97542194186758</v>
      </c>
      <c r="K24" s="3"/>
      <c r="L24" s="8">
        <f t="shared" si="12"/>
        <v>0.10071591999999999</v>
      </c>
      <c r="M24" s="3">
        <f t="shared" si="13"/>
        <v>1100.7159200000001</v>
      </c>
      <c r="N24" s="3">
        <f>M24/A24</f>
        <v>137.58949000000001</v>
      </c>
    </row>
    <row r="25" spans="1:14" x14ac:dyDescent="0.25">
      <c r="A25" s="1">
        <v>9</v>
      </c>
      <c r="B25" s="1">
        <v>3.44</v>
      </c>
      <c r="C25" s="4">
        <f>((A25+1)/2)</f>
        <v>5</v>
      </c>
      <c r="D25" s="8">
        <f t="shared" si="8"/>
        <v>9.8000000000000007</v>
      </c>
      <c r="E25" s="8">
        <f>1-(B25/100)</f>
        <v>0.96560000000000001</v>
      </c>
      <c r="F25" s="8">
        <f t="shared" si="7"/>
        <v>0.90200000000000002</v>
      </c>
      <c r="G25" s="8">
        <f t="shared" si="9"/>
        <v>0.87097120000000006</v>
      </c>
      <c r="H25" s="8">
        <f t="shared" si="10"/>
        <v>0.12902879999999994</v>
      </c>
      <c r="I25" s="8">
        <f t="shared" si="11"/>
        <v>1148.1435895928589</v>
      </c>
      <c r="J25" s="8">
        <f>I25/A25</f>
        <v>127.57150995476211</v>
      </c>
      <c r="K25" s="3"/>
      <c r="L25" s="8">
        <f t="shared" si="12"/>
        <v>0.11017879999999994</v>
      </c>
      <c r="M25" s="3">
        <f t="shared" si="13"/>
        <v>1110.1787999999999</v>
      </c>
      <c r="N25" s="3">
        <f>M25/A25</f>
        <v>123.35319999999999</v>
      </c>
    </row>
    <row r="26" spans="1:14" x14ac:dyDescent="0.25">
      <c r="A26" s="1">
        <v>10</v>
      </c>
      <c r="B26" s="1">
        <v>3.44</v>
      </c>
      <c r="C26" s="4">
        <f>((A26+1)/2)</f>
        <v>5.5</v>
      </c>
      <c r="D26" s="8">
        <f t="shared" si="8"/>
        <v>10.78</v>
      </c>
      <c r="E26" s="8">
        <f>1-(B26/100)</f>
        <v>0.96560000000000001</v>
      </c>
      <c r="F26" s="8">
        <f t="shared" si="7"/>
        <v>0.89219999999999999</v>
      </c>
      <c r="G26" s="8">
        <f t="shared" si="9"/>
        <v>0.86150831999999999</v>
      </c>
      <c r="H26" s="8">
        <f t="shared" si="10"/>
        <v>0.13849168000000001</v>
      </c>
      <c r="I26" s="8">
        <f t="shared" si="11"/>
        <v>1160.7548955534173</v>
      </c>
      <c r="J26" s="8">
        <f>I26/A26</f>
        <v>116.07548955534173</v>
      </c>
      <c r="K26" s="3"/>
      <c r="L26" s="8">
        <f t="shared" si="12"/>
        <v>0.11964168</v>
      </c>
      <c r="M26" s="3">
        <f t="shared" si="13"/>
        <v>1119.64168</v>
      </c>
      <c r="N26" s="3">
        <f>M26/A26</f>
        <v>111.964168</v>
      </c>
    </row>
    <row r="27" spans="1:14" x14ac:dyDescent="0.25">
      <c r="A27" s="1">
        <v>11</v>
      </c>
      <c r="B27" s="1">
        <v>3.44</v>
      </c>
      <c r="C27" s="4">
        <f>((A27+1)/2)</f>
        <v>6</v>
      </c>
      <c r="D27" s="8">
        <f t="shared" si="8"/>
        <v>11.76</v>
      </c>
      <c r="E27" s="8">
        <f>1-(B27/100)</f>
        <v>0.96560000000000001</v>
      </c>
      <c r="F27" s="8">
        <f t="shared" si="7"/>
        <v>0.88239999999999996</v>
      </c>
      <c r="G27" s="8">
        <f t="shared" si="9"/>
        <v>0.85204543999999993</v>
      </c>
      <c r="H27" s="8">
        <f t="shared" si="10"/>
        <v>0.14795456000000007</v>
      </c>
      <c r="I27" s="8">
        <f t="shared" si="11"/>
        <v>1173.6463257170885</v>
      </c>
      <c r="J27" s="8">
        <f>I27/A27</f>
        <v>106.69512051973533</v>
      </c>
      <c r="K27" s="3"/>
      <c r="L27" s="8">
        <f t="shared" si="12"/>
        <v>0.12910456000000006</v>
      </c>
      <c r="M27" s="3">
        <f t="shared" si="13"/>
        <v>1129.10456</v>
      </c>
      <c r="N27" s="3">
        <f>M27/A27</f>
        <v>102.64586909090909</v>
      </c>
    </row>
    <row r="28" spans="1:14" x14ac:dyDescent="0.25">
      <c r="A28" s="1">
        <v>12</v>
      </c>
      <c r="B28" s="1">
        <v>3.44</v>
      </c>
      <c r="C28" s="4">
        <f>((A28+1)/2)</f>
        <v>6.5</v>
      </c>
      <c r="D28" s="8">
        <f t="shared" si="8"/>
        <v>12.74</v>
      </c>
      <c r="E28" s="8">
        <f>1-(B28/100)</f>
        <v>0.96560000000000001</v>
      </c>
      <c r="F28" s="8">
        <f>1-(D28/100)</f>
        <v>0.87260000000000004</v>
      </c>
      <c r="G28" s="8">
        <f t="shared" si="9"/>
        <v>0.84258256000000009</v>
      </c>
      <c r="H28" s="8">
        <f t="shared" si="10"/>
        <v>0.15741743999999991</v>
      </c>
      <c r="I28" s="8">
        <f t="shared" si="11"/>
        <v>1186.8273181443487</v>
      </c>
      <c r="J28" s="8">
        <f>I28/A28</f>
        <v>98.902276512029061</v>
      </c>
      <c r="K28" s="3"/>
      <c r="L28" s="8">
        <f t="shared" si="12"/>
        <v>0.1385674399999999</v>
      </c>
      <c r="M28" s="3">
        <f t="shared" si="13"/>
        <v>1138.5674399999998</v>
      </c>
      <c r="N28" s="3">
        <f>M28/A28</f>
        <v>94.880619999999979</v>
      </c>
    </row>
    <row r="30" spans="1:14" x14ac:dyDescent="0.25">
      <c r="A30" s="1" t="s">
        <v>1</v>
      </c>
      <c r="C30" s="3"/>
      <c r="D30" s="8">
        <v>1.99</v>
      </c>
    </row>
    <row r="31" spans="1:14" x14ac:dyDescent="0.25">
      <c r="A31" s="1">
        <v>1</v>
      </c>
      <c r="B31" s="1">
        <v>3.74</v>
      </c>
      <c r="C31" s="4">
        <f>((A31+1)/2)</f>
        <v>1</v>
      </c>
      <c r="D31" s="8">
        <f>$D$30*C31</f>
        <v>1.99</v>
      </c>
      <c r="E31" s="8">
        <f>1-(B31/100)</f>
        <v>0.96260000000000001</v>
      </c>
      <c r="F31" s="8">
        <f t="shared" ref="F31:F41" si="14">1-(D31/100)</f>
        <v>0.98009999999999997</v>
      </c>
      <c r="G31" s="8">
        <f>E31*F31</f>
        <v>0.94344426000000003</v>
      </c>
      <c r="H31" s="8">
        <f>1-G31</f>
        <v>5.6555739999999965E-2</v>
      </c>
      <c r="I31" s="8">
        <f>$B$1/G31</f>
        <v>1059.9460322118023</v>
      </c>
      <c r="J31" s="8">
        <f>I31/A31</f>
        <v>1059.9460322118023</v>
      </c>
      <c r="K31" s="3"/>
      <c r="L31" s="8">
        <f>H31-($D$2/100)</f>
        <v>3.7705739999999967E-2</v>
      </c>
      <c r="M31" s="3">
        <f>($B$1*L31)+$B$1</f>
        <v>1037.7057399999999</v>
      </c>
      <c r="N31" s="3">
        <f>M31/A31</f>
        <v>1037.7057399999999</v>
      </c>
    </row>
    <row r="32" spans="1:14" x14ac:dyDescent="0.25">
      <c r="A32" s="1">
        <v>2</v>
      </c>
      <c r="B32" s="1">
        <v>3.94</v>
      </c>
      <c r="C32" s="4">
        <f>((A32+1)/2)</f>
        <v>1.5</v>
      </c>
      <c r="D32" s="8">
        <f t="shared" ref="D32:D42" si="15">$D$30*C32</f>
        <v>2.9849999999999999</v>
      </c>
      <c r="E32" s="8">
        <f>1-(B32/100)</f>
        <v>0.96060000000000001</v>
      </c>
      <c r="F32" s="8">
        <f t="shared" si="14"/>
        <v>0.97014999999999996</v>
      </c>
      <c r="G32" s="8">
        <f t="shared" ref="G32:G42" si="16">E32*F32</f>
        <v>0.93192608999999993</v>
      </c>
      <c r="H32" s="8">
        <f t="shared" ref="H32:H42" si="17">1-G32</f>
        <v>6.8073910000000071E-2</v>
      </c>
      <c r="I32" s="8">
        <f t="shared" ref="I32:I42" si="18">$B$1/G32</f>
        <v>1073.0464687387389</v>
      </c>
      <c r="J32" s="8">
        <f>I32/A32</f>
        <v>536.52323436936945</v>
      </c>
      <c r="K32" s="3"/>
      <c r="L32" s="8">
        <f t="shared" ref="L32:L42" si="19">H32-($D$2/100)</f>
        <v>4.9223910000000072E-2</v>
      </c>
      <c r="M32" s="3">
        <f t="shared" ref="M32:M42" si="20">($B$1*L32)+$B$1</f>
        <v>1049.2239100000002</v>
      </c>
      <c r="N32" s="3">
        <f>M32/A32</f>
        <v>524.61195500000008</v>
      </c>
    </row>
    <row r="33" spans="1:14" x14ac:dyDescent="0.25">
      <c r="A33" s="1">
        <v>3</v>
      </c>
      <c r="B33" s="1">
        <v>3.94</v>
      </c>
      <c r="C33" s="4">
        <f>((A33+1)/2)</f>
        <v>2</v>
      </c>
      <c r="D33" s="8">
        <f t="shared" si="15"/>
        <v>3.98</v>
      </c>
      <c r="E33" s="8">
        <f>1-(B33/100)</f>
        <v>0.96060000000000001</v>
      </c>
      <c r="F33" s="8">
        <f t="shared" si="14"/>
        <v>0.96019999999999994</v>
      </c>
      <c r="G33" s="8">
        <f t="shared" si="16"/>
        <v>0.9223681199999999</v>
      </c>
      <c r="H33" s="8">
        <f t="shared" si="17"/>
        <v>7.7631880000000097E-2</v>
      </c>
      <c r="I33" s="8">
        <f t="shared" si="18"/>
        <v>1084.1658317505598</v>
      </c>
      <c r="J33" s="8">
        <f>I33/A33</f>
        <v>361.38861058351995</v>
      </c>
      <c r="K33" s="3"/>
      <c r="L33" s="8">
        <f t="shared" si="19"/>
        <v>5.8781880000000099E-2</v>
      </c>
      <c r="M33" s="3">
        <f t="shared" si="20"/>
        <v>1058.78188</v>
      </c>
      <c r="N33" s="3">
        <f>M33/A33</f>
        <v>352.92729333333335</v>
      </c>
    </row>
    <row r="34" spans="1:14" x14ac:dyDescent="0.25">
      <c r="A34" s="1">
        <v>4</v>
      </c>
      <c r="B34" s="1">
        <v>3.94</v>
      </c>
      <c r="C34" s="4">
        <f>((A34+1)/2)</f>
        <v>2.5</v>
      </c>
      <c r="D34" s="8">
        <f t="shared" si="15"/>
        <v>4.9749999999999996</v>
      </c>
      <c r="E34" s="8">
        <f>1-(B34/100)</f>
        <v>0.96060000000000001</v>
      </c>
      <c r="F34" s="8">
        <f t="shared" si="14"/>
        <v>0.95025000000000004</v>
      </c>
      <c r="G34" s="8">
        <f t="shared" si="16"/>
        <v>0.9128101500000001</v>
      </c>
      <c r="H34" s="8">
        <f t="shared" si="17"/>
        <v>8.7189849999999902E-2</v>
      </c>
      <c r="I34" s="8">
        <f t="shared" si="18"/>
        <v>1095.518054877019</v>
      </c>
      <c r="J34" s="8">
        <f>I34/A34</f>
        <v>273.87951371925476</v>
      </c>
      <c r="K34" s="3"/>
      <c r="L34" s="8">
        <f t="shared" si="19"/>
        <v>6.8339849999999897E-2</v>
      </c>
      <c r="M34" s="3">
        <f t="shared" si="20"/>
        <v>1068.3398499999998</v>
      </c>
      <c r="N34" s="3">
        <f>M34/A34</f>
        <v>267.08496249999996</v>
      </c>
    </row>
    <row r="35" spans="1:14" x14ac:dyDescent="0.25">
      <c r="A35" s="1">
        <v>5</v>
      </c>
      <c r="B35" s="1">
        <v>3.94</v>
      </c>
      <c r="C35" s="4">
        <f>((A35+1)/2)</f>
        <v>3</v>
      </c>
      <c r="D35" s="8">
        <f t="shared" si="15"/>
        <v>5.97</v>
      </c>
      <c r="E35" s="8">
        <f>1-(B35/100)</f>
        <v>0.96060000000000001</v>
      </c>
      <c r="F35" s="8">
        <f t="shared" si="14"/>
        <v>0.94030000000000002</v>
      </c>
      <c r="G35" s="8">
        <f t="shared" si="16"/>
        <v>0.90325218000000007</v>
      </c>
      <c r="H35" s="8">
        <f t="shared" si="17"/>
        <v>9.6747819999999929E-2</v>
      </c>
      <c r="I35" s="8">
        <f t="shared" si="18"/>
        <v>1107.1105303061654</v>
      </c>
      <c r="J35" s="8">
        <f>I35/A35</f>
        <v>221.42210606123308</v>
      </c>
      <c r="K35" s="3"/>
      <c r="L35" s="8">
        <f t="shared" si="19"/>
        <v>7.7897819999999923E-2</v>
      </c>
      <c r="M35" s="3">
        <f t="shared" si="20"/>
        <v>1077.8978199999999</v>
      </c>
      <c r="N35" s="3">
        <f>M35/A35</f>
        <v>215.57956399999998</v>
      </c>
    </row>
    <row r="36" spans="1:14" x14ac:dyDescent="0.25">
      <c r="A36" s="1">
        <v>6</v>
      </c>
      <c r="B36" s="1">
        <v>3.94</v>
      </c>
      <c r="C36" s="4">
        <f>((A36+1)/2)</f>
        <v>3.5</v>
      </c>
      <c r="D36" s="8">
        <f t="shared" si="15"/>
        <v>6.9649999999999999</v>
      </c>
      <c r="E36" s="8">
        <f>1-(B36/100)</f>
        <v>0.96060000000000001</v>
      </c>
      <c r="F36" s="8">
        <f t="shared" si="14"/>
        <v>0.93035000000000001</v>
      </c>
      <c r="G36" s="8">
        <f t="shared" si="16"/>
        <v>0.89369421000000004</v>
      </c>
      <c r="H36" s="8">
        <f t="shared" si="17"/>
        <v>0.10630578999999996</v>
      </c>
      <c r="I36" s="8">
        <f t="shared" si="18"/>
        <v>1118.9509664608881</v>
      </c>
      <c r="J36" s="8">
        <f>I36/A36</f>
        <v>186.49182774348137</v>
      </c>
      <c r="K36" s="3"/>
      <c r="L36" s="8">
        <f t="shared" si="19"/>
        <v>8.745578999999995E-2</v>
      </c>
      <c r="M36" s="3">
        <f t="shared" si="20"/>
        <v>1087.45579</v>
      </c>
      <c r="N36" s="3">
        <f>M36/A36</f>
        <v>181.24263166666665</v>
      </c>
    </row>
    <row r="37" spans="1:14" x14ac:dyDescent="0.25">
      <c r="A37" s="1">
        <v>7</v>
      </c>
      <c r="B37" s="1">
        <v>4.17</v>
      </c>
      <c r="C37" s="4">
        <f>((A37+1)/2)</f>
        <v>4</v>
      </c>
      <c r="D37" s="8">
        <f t="shared" si="15"/>
        <v>7.96</v>
      </c>
      <c r="E37" s="8">
        <f>1-(B37/100)</f>
        <v>0.95830000000000004</v>
      </c>
      <c r="F37" s="8">
        <f t="shared" si="14"/>
        <v>0.9204</v>
      </c>
      <c r="G37" s="8">
        <f t="shared" si="16"/>
        <v>0.88201932000000005</v>
      </c>
      <c r="H37" s="8">
        <f t="shared" si="17"/>
        <v>0.11798067999999995</v>
      </c>
      <c r="I37" s="8">
        <f t="shared" si="18"/>
        <v>1133.7620132856046</v>
      </c>
      <c r="J37" s="8">
        <f>I37/A37</f>
        <v>161.9660018979435</v>
      </c>
      <c r="K37" s="3"/>
      <c r="L37" s="8">
        <f t="shared" si="19"/>
        <v>9.9130679999999943E-2</v>
      </c>
      <c r="M37" s="3">
        <f t="shared" si="20"/>
        <v>1099.13068</v>
      </c>
      <c r="N37" s="3">
        <f>M37/A37</f>
        <v>157.01866857142858</v>
      </c>
    </row>
    <row r="38" spans="1:14" x14ac:dyDescent="0.25">
      <c r="A38" s="1">
        <v>8</v>
      </c>
      <c r="B38" s="1">
        <v>4.17</v>
      </c>
      <c r="C38" s="4">
        <f>((A38+1)/2)</f>
        <v>4.5</v>
      </c>
      <c r="D38" s="8">
        <f t="shared" si="15"/>
        <v>8.9550000000000001</v>
      </c>
      <c r="E38" s="8">
        <f>1-(B38/100)</f>
        <v>0.95830000000000004</v>
      </c>
      <c r="F38" s="8">
        <f t="shared" si="14"/>
        <v>0.91044999999999998</v>
      </c>
      <c r="G38" s="8">
        <f t="shared" si="16"/>
        <v>0.87248423500000005</v>
      </c>
      <c r="H38" s="8">
        <f t="shared" si="17"/>
        <v>0.12751576499999995</v>
      </c>
      <c r="I38" s="8">
        <f t="shared" si="18"/>
        <v>1146.152514721369</v>
      </c>
      <c r="J38" s="8">
        <f>I38/A38</f>
        <v>143.26906434017113</v>
      </c>
      <c r="K38" s="3"/>
      <c r="L38" s="8">
        <f t="shared" si="19"/>
        <v>0.10866576499999994</v>
      </c>
      <c r="M38" s="3">
        <f t="shared" si="20"/>
        <v>1108.665765</v>
      </c>
      <c r="N38" s="3">
        <f>M38/A38</f>
        <v>138.583220625</v>
      </c>
    </row>
    <row r="39" spans="1:14" x14ac:dyDescent="0.25">
      <c r="A39" s="1">
        <v>9</v>
      </c>
      <c r="B39" s="1">
        <v>4.17</v>
      </c>
      <c r="C39" s="4">
        <f>((A39+1)/2)</f>
        <v>5</v>
      </c>
      <c r="D39" s="8">
        <f t="shared" si="15"/>
        <v>9.9499999999999993</v>
      </c>
      <c r="E39" s="8">
        <f>1-(B39/100)</f>
        <v>0.95830000000000004</v>
      </c>
      <c r="F39" s="8">
        <f t="shared" si="14"/>
        <v>0.90049999999999997</v>
      </c>
      <c r="G39" s="8">
        <f t="shared" si="16"/>
        <v>0.86294915000000005</v>
      </c>
      <c r="H39" s="8">
        <f t="shared" si="17"/>
        <v>0.13705084999999995</v>
      </c>
      <c r="I39" s="8">
        <f t="shared" si="18"/>
        <v>1158.8168317913053</v>
      </c>
      <c r="J39" s="8">
        <f>I39/A39</f>
        <v>128.75742575458946</v>
      </c>
      <c r="K39" s="3"/>
      <c r="L39" s="8">
        <f t="shared" si="19"/>
        <v>0.11820084999999994</v>
      </c>
      <c r="M39" s="3">
        <f t="shared" si="20"/>
        <v>1118.2008499999999</v>
      </c>
      <c r="N39" s="3">
        <f>M39/A39</f>
        <v>124.24453888888888</v>
      </c>
    </row>
    <row r="40" spans="1:14" x14ac:dyDescent="0.25">
      <c r="A40" s="1">
        <v>10</v>
      </c>
      <c r="B40" s="1">
        <v>4.17</v>
      </c>
      <c r="C40" s="4">
        <f>((A40+1)/2)</f>
        <v>5.5</v>
      </c>
      <c r="D40" s="8">
        <f t="shared" si="15"/>
        <v>10.945</v>
      </c>
      <c r="E40" s="8">
        <f>1-(B40/100)</f>
        <v>0.95830000000000004</v>
      </c>
      <c r="F40" s="8">
        <f t="shared" si="14"/>
        <v>0.89054999999999995</v>
      </c>
      <c r="G40" s="8">
        <f t="shared" si="16"/>
        <v>0.85341406499999994</v>
      </c>
      <c r="H40" s="8">
        <f t="shared" si="17"/>
        <v>0.14658593500000006</v>
      </c>
      <c r="I40" s="8">
        <f t="shared" si="18"/>
        <v>1171.7641424154406</v>
      </c>
      <c r="J40" s="8">
        <f>I40/A40</f>
        <v>117.17641424154405</v>
      </c>
      <c r="K40" s="3"/>
      <c r="L40" s="8">
        <f t="shared" si="19"/>
        <v>0.12773593500000005</v>
      </c>
      <c r="M40" s="3">
        <f t="shared" si="20"/>
        <v>1127.7359350000002</v>
      </c>
      <c r="N40" s="3">
        <f>M40/A40</f>
        <v>112.77359350000002</v>
      </c>
    </row>
    <row r="41" spans="1:14" x14ac:dyDescent="0.25">
      <c r="A41" s="1">
        <v>11</v>
      </c>
      <c r="B41" s="1">
        <v>4.17</v>
      </c>
      <c r="C41" s="4">
        <f>((A41+1)/2)</f>
        <v>6</v>
      </c>
      <c r="D41" s="8">
        <f t="shared" si="15"/>
        <v>11.94</v>
      </c>
      <c r="E41" s="8">
        <f>1-(B41/100)</f>
        <v>0.95830000000000004</v>
      </c>
      <c r="F41" s="8">
        <f t="shared" si="14"/>
        <v>0.88060000000000005</v>
      </c>
      <c r="G41" s="8">
        <f t="shared" si="16"/>
        <v>0.84387898000000006</v>
      </c>
      <c r="H41" s="8">
        <f t="shared" si="17"/>
        <v>0.15612101999999994</v>
      </c>
      <c r="I41" s="8">
        <f t="shared" si="18"/>
        <v>1185.0040393232687</v>
      </c>
      <c r="J41" s="8">
        <f>I41/A41</f>
        <v>107.72763993847897</v>
      </c>
      <c r="K41" s="3"/>
      <c r="L41" s="8">
        <f t="shared" si="19"/>
        <v>0.13727101999999994</v>
      </c>
      <c r="M41" s="3">
        <f t="shared" si="20"/>
        <v>1137.2710199999999</v>
      </c>
      <c r="N41" s="3">
        <f>M41/A41</f>
        <v>103.38827454545454</v>
      </c>
    </row>
    <row r="42" spans="1:14" x14ac:dyDescent="0.25">
      <c r="A42" s="1">
        <v>12</v>
      </c>
      <c r="B42" s="1">
        <v>4.17</v>
      </c>
      <c r="C42" s="4">
        <f>((A42+1)/2)</f>
        <v>6.5</v>
      </c>
      <c r="D42" s="8">
        <f t="shared" si="15"/>
        <v>12.935</v>
      </c>
      <c r="E42" s="8">
        <f>1-(B42/100)</f>
        <v>0.95830000000000004</v>
      </c>
      <c r="F42" s="8">
        <f>1-(D42/100)</f>
        <v>0.87065000000000003</v>
      </c>
      <c r="G42" s="8">
        <f t="shared" si="16"/>
        <v>0.83434389500000006</v>
      </c>
      <c r="H42" s="8">
        <f t="shared" si="17"/>
        <v>0.16565610499999994</v>
      </c>
      <c r="I42" s="8">
        <f t="shared" si="18"/>
        <v>1198.5465537564698</v>
      </c>
      <c r="J42" s="8">
        <f>I42/A42</f>
        <v>99.878879479705816</v>
      </c>
      <c r="K42" s="3"/>
      <c r="L42" s="8">
        <f t="shared" si="19"/>
        <v>0.14680610499999994</v>
      </c>
      <c r="M42" s="3">
        <f t="shared" si="20"/>
        <v>1146.8061049999999</v>
      </c>
      <c r="N42" s="3">
        <f>M42/A42</f>
        <v>95.567175416666657</v>
      </c>
    </row>
    <row r="44" spans="1:14" x14ac:dyDescent="0.25">
      <c r="A44" s="1" t="s">
        <v>2</v>
      </c>
      <c r="C44" s="3"/>
      <c r="D44" s="8">
        <v>1.96</v>
      </c>
    </row>
    <row r="45" spans="1:14" x14ac:dyDescent="0.25">
      <c r="A45" s="1">
        <v>1</v>
      </c>
      <c r="B45" s="1">
        <v>3.29</v>
      </c>
      <c r="C45" s="4">
        <f>((A45+1)/2)</f>
        <v>1</v>
      </c>
      <c r="D45" s="8">
        <f>$D$44*C45</f>
        <v>1.96</v>
      </c>
      <c r="E45" s="8">
        <f>1-(B45/100)</f>
        <v>0.96709999999999996</v>
      </c>
      <c r="F45" s="8">
        <f t="shared" ref="F45:F55" si="21">1-(D45/100)</f>
        <v>0.98040000000000005</v>
      </c>
      <c r="G45" s="8">
        <f>E45*F45</f>
        <v>0.94814483999999999</v>
      </c>
      <c r="H45" s="8">
        <f>1-G45</f>
        <v>5.1855160000000011E-2</v>
      </c>
      <c r="I45" s="8">
        <f>$B$1/G45</f>
        <v>1054.6911798834449</v>
      </c>
      <c r="J45" s="8">
        <f>I45/A45</f>
        <v>1054.6911798834449</v>
      </c>
      <c r="K45" s="3"/>
      <c r="L45" s="8">
        <f>H45-($D$2/100)</f>
        <v>3.3005160000000013E-2</v>
      </c>
      <c r="M45" s="3">
        <f>($B$1*L45)+$B$1</f>
        <v>1033.0051599999999</v>
      </c>
      <c r="N45" s="3">
        <f>M45/A45</f>
        <v>1033.0051599999999</v>
      </c>
    </row>
    <row r="46" spans="1:14" x14ac:dyDescent="0.25">
      <c r="A46" s="1">
        <v>2</v>
      </c>
      <c r="B46" s="1">
        <v>3.78</v>
      </c>
      <c r="C46" s="4">
        <f>((A46+1)/2)</f>
        <v>1.5</v>
      </c>
      <c r="D46" s="8">
        <f t="shared" ref="D46:D56" si="22">$D$44*C46</f>
        <v>2.94</v>
      </c>
      <c r="E46" s="8">
        <f>1-(B46/100)</f>
        <v>0.96219999999999994</v>
      </c>
      <c r="F46" s="8">
        <f t="shared" si="21"/>
        <v>0.97060000000000002</v>
      </c>
      <c r="G46" s="8">
        <f t="shared" ref="G46:G56" si="23">E46*F46</f>
        <v>0.93391131999999999</v>
      </c>
      <c r="H46" s="8">
        <f t="shared" ref="H46:H56" si="24">1-G46</f>
        <v>6.6088680000000011E-2</v>
      </c>
      <c r="I46" s="8">
        <f t="shared" ref="I46:I56" si="25">$B$1/G46</f>
        <v>1070.7654769619883</v>
      </c>
      <c r="J46" s="8">
        <f>I46/A46</f>
        <v>535.38273848099413</v>
      </c>
      <c r="K46" s="3"/>
      <c r="L46" s="8">
        <f t="shared" ref="L46:L56" si="26">H46-($D$2/100)</f>
        <v>4.7238680000000012E-2</v>
      </c>
      <c r="M46" s="3">
        <f t="shared" ref="M46:M56" si="27">($B$1*L46)+$B$1</f>
        <v>1047.2386799999999</v>
      </c>
      <c r="N46" s="3">
        <f>M46/A46</f>
        <v>523.61933999999997</v>
      </c>
    </row>
    <row r="47" spans="1:14" x14ac:dyDescent="0.25">
      <c r="A47" s="1">
        <v>3</v>
      </c>
      <c r="B47" s="1">
        <v>3.78</v>
      </c>
      <c r="C47" s="4">
        <f>((A47+1)/2)</f>
        <v>2</v>
      </c>
      <c r="D47" s="8">
        <f t="shared" si="22"/>
        <v>3.92</v>
      </c>
      <c r="E47" s="8">
        <f>1-(B47/100)</f>
        <v>0.96219999999999994</v>
      </c>
      <c r="F47" s="8">
        <f t="shared" si="21"/>
        <v>0.96079999999999999</v>
      </c>
      <c r="G47" s="8">
        <f t="shared" si="23"/>
        <v>0.92448175999999993</v>
      </c>
      <c r="H47" s="8">
        <f t="shared" si="24"/>
        <v>7.551824000000007E-2</v>
      </c>
      <c r="I47" s="8">
        <f t="shared" si="25"/>
        <v>1081.6871065146813</v>
      </c>
      <c r="J47" s="8">
        <f>I47/A47</f>
        <v>360.56236883822709</v>
      </c>
      <c r="K47" s="3"/>
      <c r="L47" s="8">
        <f t="shared" si="26"/>
        <v>5.6668240000000071E-2</v>
      </c>
      <c r="M47" s="3">
        <f t="shared" si="27"/>
        <v>1056.66824</v>
      </c>
      <c r="N47" s="3">
        <f>M47/A47</f>
        <v>352.22274666666664</v>
      </c>
    </row>
    <row r="48" spans="1:14" x14ac:dyDescent="0.25">
      <c r="A48" s="1">
        <v>4</v>
      </c>
      <c r="B48" s="1">
        <v>3.78</v>
      </c>
      <c r="C48" s="4">
        <f>((A48+1)/2)</f>
        <v>2.5</v>
      </c>
      <c r="D48" s="8">
        <f t="shared" si="22"/>
        <v>4.9000000000000004</v>
      </c>
      <c r="E48" s="8">
        <f>1-(B48/100)</f>
        <v>0.96219999999999994</v>
      </c>
      <c r="F48" s="8">
        <f t="shared" si="21"/>
        <v>0.95099999999999996</v>
      </c>
      <c r="G48" s="8">
        <f t="shared" si="23"/>
        <v>0.91505219999999987</v>
      </c>
      <c r="H48" s="8">
        <f t="shared" si="24"/>
        <v>8.4947800000000129E-2</v>
      </c>
      <c r="I48" s="8">
        <f t="shared" si="25"/>
        <v>1092.8338295891756</v>
      </c>
      <c r="J48" s="8">
        <f>I48/A48</f>
        <v>273.2084573972939</v>
      </c>
      <c r="K48" s="3"/>
      <c r="L48" s="8">
        <f t="shared" si="26"/>
        <v>6.6097800000000123E-2</v>
      </c>
      <c r="M48" s="3">
        <f t="shared" si="27"/>
        <v>1066.0978</v>
      </c>
      <c r="N48" s="3">
        <f>M48/A48</f>
        <v>266.52445</v>
      </c>
    </row>
    <row r="49" spans="1:14" x14ac:dyDescent="0.25">
      <c r="A49" s="1">
        <v>5</v>
      </c>
      <c r="B49" s="1">
        <v>3.78</v>
      </c>
      <c r="C49" s="4">
        <f>((A49+1)/2)</f>
        <v>3</v>
      </c>
      <c r="D49" s="8">
        <f t="shared" si="22"/>
        <v>5.88</v>
      </c>
      <c r="E49" s="8">
        <f>1-(B49/100)</f>
        <v>0.96219999999999994</v>
      </c>
      <c r="F49" s="8">
        <f t="shared" si="21"/>
        <v>0.94120000000000004</v>
      </c>
      <c r="G49" s="8">
        <f t="shared" si="23"/>
        <v>0.90562264000000003</v>
      </c>
      <c r="H49" s="8">
        <f t="shared" si="24"/>
        <v>9.4377359999999966E-2</v>
      </c>
      <c r="I49" s="8">
        <f t="shared" si="25"/>
        <v>1104.2126773685782</v>
      </c>
      <c r="J49" s="8">
        <f>I49/A49</f>
        <v>220.84253547371563</v>
      </c>
      <c r="K49" s="3"/>
      <c r="L49" s="8">
        <f t="shared" si="26"/>
        <v>7.552735999999996E-2</v>
      </c>
      <c r="M49" s="3">
        <f t="shared" si="27"/>
        <v>1075.52736</v>
      </c>
      <c r="N49" s="3">
        <f>M49/A49</f>
        <v>215.10547200000002</v>
      </c>
    </row>
    <row r="50" spans="1:14" x14ac:dyDescent="0.25">
      <c r="A50" s="1">
        <v>6</v>
      </c>
      <c r="B50" s="1">
        <v>3.78</v>
      </c>
      <c r="C50" s="4">
        <f>((A50+1)/2)</f>
        <v>3.5</v>
      </c>
      <c r="D50" s="8">
        <f t="shared" si="22"/>
        <v>6.8599999999999994</v>
      </c>
      <c r="E50" s="8">
        <f>1-(B50/100)</f>
        <v>0.96219999999999994</v>
      </c>
      <c r="F50" s="8">
        <f t="shared" si="21"/>
        <v>0.93140000000000001</v>
      </c>
      <c r="G50" s="8">
        <f t="shared" si="23"/>
        <v>0.89619307999999998</v>
      </c>
      <c r="H50" s="8">
        <f t="shared" si="24"/>
        <v>0.10380692000000002</v>
      </c>
      <c r="I50" s="8">
        <f t="shared" si="25"/>
        <v>1115.8309769586706</v>
      </c>
      <c r="J50" s="8">
        <f>I50/A50</f>
        <v>185.97182949311176</v>
      </c>
      <c r="K50" s="3"/>
      <c r="L50" s="8">
        <f t="shared" si="26"/>
        <v>8.4956920000000019E-2</v>
      </c>
      <c r="M50" s="3">
        <f t="shared" si="27"/>
        <v>1084.9569200000001</v>
      </c>
      <c r="N50" s="3">
        <f>M50/A50</f>
        <v>180.82615333333334</v>
      </c>
    </row>
    <row r="51" spans="1:14" x14ac:dyDescent="0.25">
      <c r="A51" s="1">
        <v>7</v>
      </c>
      <c r="B51" s="1">
        <v>4.04</v>
      </c>
      <c r="C51" s="4">
        <f>((A51+1)/2)</f>
        <v>4</v>
      </c>
      <c r="D51" s="8">
        <f t="shared" si="22"/>
        <v>7.84</v>
      </c>
      <c r="E51" s="8">
        <f>1-(B51/100)</f>
        <v>0.95960000000000001</v>
      </c>
      <c r="F51" s="8">
        <f t="shared" si="21"/>
        <v>0.92159999999999997</v>
      </c>
      <c r="G51" s="8">
        <f t="shared" si="23"/>
        <v>0.88436735999999994</v>
      </c>
      <c r="H51" s="8">
        <f t="shared" si="24"/>
        <v>0.11563264000000006</v>
      </c>
      <c r="I51" s="8">
        <f t="shared" si="25"/>
        <v>1130.7518178870826</v>
      </c>
      <c r="J51" s="8">
        <f>I51/A51</f>
        <v>161.53597398386893</v>
      </c>
      <c r="K51" s="3"/>
      <c r="L51" s="8">
        <f t="shared" si="26"/>
        <v>9.6782640000000059E-2</v>
      </c>
      <c r="M51" s="3">
        <f t="shared" si="27"/>
        <v>1096.7826400000001</v>
      </c>
      <c r="N51" s="3">
        <f>M51/A51</f>
        <v>156.68323428571429</v>
      </c>
    </row>
    <row r="52" spans="1:14" x14ac:dyDescent="0.25">
      <c r="A52" s="1">
        <v>8</v>
      </c>
      <c r="B52" s="1">
        <v>4.04</v>
      </c>
      <c r="C52" s="4">
        <f>((A52+1)/2)</f>
        <v>4.5</v>
      </c>
      <c r="D52" s="8">
        <f t="shared" si="22"/>
        <v>8.82</v>
      </c>
      <c r="E52" s="8">
        <f>1-(B52/100)</f>
        <v>0.95960000000000001</v>
      </c>
      <c r="F52" s="8">
        <f t="shared" si="21"/>
        <v>0.91179999999999994</v>
      </c>
      <c r="G52" s="8">
        <f t="shared" si="23"/>
        <v>0.8749632799999999</v>
      </c>
      <c r="H52" s="8">
        <f t="shared" si="24"/>
        <v>0.1250367200000001</v>
      </c>
      <c r="I52" s="8">
        <f t="shared" si="25"/>
        <v>1142.9051056862638</v>
      </c>
      <c r="J52" s="8">
        <f>I52/A52</f>
        <v>142.86313821078298</v>
      </c>
      <c r="K52" s="3"/>
      <c r="L52" s="8">
        <f t="shared" si="26"/>
        <v>0.1061867200000001</v>
      </c>
      <c r="M52" s="3">
        <f t="shared" si="27"/>
        <v>1106.1867200000002</v>
      </c>
      <c r="N52" s="3">
        <f>M52/A52</f>
        <v>138.27334000000002</v>
      </c>
    </row>
    <row r="53" spans="1:14" x14ac:dyDescent="0.25">
      <c r="A53" s="1">
        <v>9</v>
      </c>
      <c r="B53" s="1">
        <v>4.04</v>
      </c>
      <c r="C53" s="4">
        <f>((A53+1)/2)</f>
        <v>5</v>
      </c>
      <c r="D53" s="8">
        <f t="shared" si="22"/>
        <v>9.8000000000000007</v>
      </c>
      <c r="E53" s="8">
        <f>1-(B53/100)</f>
        <v>0.95960000000000001</v>
      </c>
      <c r="F53" s="8">
        <f t="shared" si="21"/>
        <v>0.90200000000000002</v>
      </c>
      <c r="G53" s="8">
        <f t="shared" si="23"/>
        <v>0.86555920000000008</v>
      </c>
      <c r="H53" s="8">
        <f t="shared" si="24"/>
        <v>0.13444079999999992</v>
      </c>
      <c r="I53" s="8">
        <f t="shared" si="25"/>
        <v>1155.3224782314137</v>
      </c>
      <c r="J53" s="8">
        <f>I53/A53</f>
        <v>128.36916424793486</v>
      </c>
      <c r="K53" s="3"/>
      <c r="L53" s="8">
        <f t="shared" si="26"/>
        <v>0.11559079999999991</v>
      </c>
      <c r="M53" s="3">
        <f t="shared" si="27"/>
        <v>1115.5907999999999</v>
      </c>
      <c r="N53" s="3">
        <f>M53/A53</f>
        <v>123.95453333333333</v>
      </c>
    </row>
    <row r="54" spans="1:14" x14ac:dyDescent="0.25">
      <c r="A54" s="1">
        <v>10</v>
      </c>
      <c r="B54" s="1">
        <v>4.04</v>
      </c>
      <c r="C54" s="4">
        <f>((A54+1)/2)</f>
        <v>5.5</v>
      </c>
      <c r="D54" s="8">
        <f t="shared" si="22"/>
        <v>10.78</v>
      </c>
      <c r="E54" s="8">
        <f>1-(B54/100)</f>
        <v>0.95960000000000001</v>
      </c>
      <c r="F54" s="8">
        <f t="shared" si="21"/>
        <v>0.89219999999999999</v>
      </c>
      <c r="G54" s="8">
        <f t="shared" si="23"/>
        <v>0.85615512000000005</v>
      </c>
      <c r="H54" s="8">
        <f t="shared" si="24"/>
        <v>0.14384487999999995</v>
      </c>
      <c r="I54" s="8">
        <f t="shared" si="25"/>
        <v>1168.0126377098579</v>
      </c>
      <c r="J54" s="8">
        <f>I54/A54</f>
        <v>116.8012637709858</v>
      </c>
      <c r="K54" s="3"/>
      <c r="L54" s="8">
        <f t="shared" si="26"/>
        <v>0.12499487999999995</v>
      </c>
      <c r="M54" s="3">
        <f t="shared" si="27"/>
        <v>1124.99488</v>
      </c>
      <c r="N54" s="3">
        <f>M54/A54</f>
        <v>112.499488</v>
      </c>
    </row>
    <row r="55" spans="1:14" x14ac:dyDescent="0.25">
      <c r="A55" s="1">
        <v>11</v>
      </c>
      <c r="B55" s="1">
        <v>4.04</v>
      </c>
      <c r="C55" s="4">
        <f>((A55+1)/2)</f>
        <v>6</v>
      </c>
      <c r="D55" s="8">
        <f t="shared" si="22"/>
        <v>11.76</v>
      </c>
      <c r="E55" s="8">
        <f>1-(B55/100)</f>
        <v>0.95960000000000001</v>
      </c>
      <c r="F55" s="8">
        <f t="shared" si="21"/>
        <v>0.88239999999999996</v>
      </c>
      <c r="G55" s="8">
        <f t="shared" si="23"/>
        <v>0.84675104000000001</v>
      </c>
      <c r="H55" s="8">
        <f t="shared" si="24"/>
        <v>0.15324895999999999</v>
      </c>
      <c r="I55" s="8">
        <f t="shared" si="25"/>
        <v>1180.9846728974787</v>
      </c>
      <c r="J55" s="8">
        <f>I55/A55</f>
        <v>107.36224299067989</v>
      </c>
      <c r="K55" s="3"/>
      <c r="L55" s="8">
        <f t="shared" si="26"/>
        <v>0.13439895999999998</v>
      </c>
      <c r="M55" s="3">
        <f t="shared" si="27"/>
        <v>1134.39896</v>
      </c>
      <c r="N55" s="3">
        <f>M55/A55</f>
        <v>103.12717818181818</v>
      </c>
    </row>
    <row r="56" spans="1:14" x14ac:dyDescent="0.25">
      <c r="A56" s="1">
        <v>12</v>
      </c>
      <c r="B56" s="1">
        <v>4.04</v>
      </c>
      <c r="C56" s="4">
        <f>((A56+1)/2)</f>
        <v>6.5</v>
      </c>
      <c r="D56" s="8">
        <f t="shared" si="22"/>
        <v>12.74</v>
      </c>
      <c r="E56" s="8">
        <f>1-(B56/100)</f>
        <v>0.95960000000000001</v>
      </c>
      <c r="F56" s="8">
        <f>1-(D56/100)</f>
        <v>0.87260000000000004</v>
      </c>
      <c r="G56" s="8">
        <f t="shared" si="23"/>
        <v>0.83734696000000008</v>
      </c>
      <c r="H56" s="8">
        <f t="shared" si="24"/>
        <v>0.16265303999999992</v>
      </c>
      <c r="I56" s="8">
        <f t="shared" si="25"/>
        <v>1194.248080867219</v>
      </c>
      <c r="J56" s="8">
        <f>I56/A56</f>
        <v>99.520673405601585</v>
      </c>
      <c r="K56" s="3"/>
      <c r="L56" s="8">
        <f t="shared" si="26"/>
        <v>0.14380303999999991</v>
      </c>
      <c r="M56" s="3">
        <f t="shared" si="27"/>
        <v>1143.8030399999998</v>
      </c>
      <c r="N56" s="3">
        <f>M56/A56</f>
        <v>95.316919999999982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Andre Janotte</dc:creator>
  <cp:lastModifiedBy>Sandro Andre Janotte</cp:lastModifiedBy>
  <dcterms:created xsi:type="dcterms:W3CDTF">2026-10-29T20:34:34Z</dcterms:created>
  <dcterms:modified xsi:type="dcterms:W3CDTF">2026-10-29T20:34:44Z</dcterms:modified>
</cp:coreProperties>
</file>